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suni\Desktop\Palibara\"/>
    </mc:Choice>
  </mc:AlternateContent>
  <xr:revisionPtr revIDLastSave="0" documentId="8_{0454F62B-7DCA-46CF-83D5-B18F01D199D8}" xr6:coauthVersionLast="47" xr6:coauthVersionMax="47" xr10:uidLastSave="{00000000-0000-0000-0000-000000000000}"/>
  <bookViews>
    <workbookView xWindow="-110" yWindow="-110" windowWidth="19420" windowHeight="11500" tabRatio="500" firstSheet="3" activeTab="5" xr2:uid="{00000000-000D-0000-FFFF-FFFF00000000}"/>
  </bookViews>
  <sheets>
    <sheet name="DASHBOARD" sheetId="1" r:id="rId1"/>
    <sheet name="RAW_DATA" sheetId="2" r:id="rId2"/>
    <sheet name="CATEGORISATION" sheetId="3" r:id="rId3"/>
    <sheet name="PARETO_ANALYSIS" sheetId="4" r:id="rId4"/>
    <sheet name="COST_MODEL" sheetId="5" r:id="rId5"/>
    <sheet name="MONTHLY_TREND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2" i="4" l="1"/>
  <c r="E16" i="6"/>
  <c r="D16" i="6"/>
  <c r="C16" i="6"/>
  <c r="B16" i="6"/>
  <c r="D22" i="4"/>
  <c r="C22" i="4"/>
  <c r="D13" i="3"/>
  <c r="G10" i="3" s="1"/>
  <c r="C13" i="3"/>
  <c r="F10" i="3" s="1"/>
  <c r="B13" i="3"/>
  <c r="G12" i="3"/>
  <c r="F12" i="3"/>
  <c r="E12" i="3"/>
  <c r="E11" i="3"/>
  <c r="E10" i="3"/>
  <c r="E9" i="3"/>
  <c r="G8" i="3"/>
  <c r="F8" i="3"/>
  <c r="E8" i="3"/>
  <c r="G7" i="3"/>
  <c r="F7" i="3"/>
  <c r="E7" i="3"/>
  <c r="E6" i="3"/>
  <c r="E5" i="3"/>
  <c r="F9" i="3" l="1"/>
  <c r="G9" i="3"/>
  <c r="F5" i="3"/>
  <c r="G5" i="3"/>
  <c r="F11" i="3"/>
  <c r="G11" i="3"/>
  <c r="F6" i="3"/>
  <c r="G6" i="3"/>
</calcChain>
</file>

<file path=xl/sharedStrings.xml><?xml version="1.0" encoding="utf-8"?>
<sst xmlns="http://schemas.openxmlformats.org/spreadsheetml/2006/main" count="3426" uniqueCount="795">
  <si>
    <t xml:space="preserve">  MANUFACTURING PLANT DOWNTIME REDUCTION DASHBOARD — OPERATIONS EXCELLENCE</t>
  </si>
  <si>
    <t xml:space="preserve">  McArthur River Zinc Processing  |  2026 Simulated Operations Data  |  Cost Rate: AUD $9,500/hr  |  Design: 1,200 tph</t>
  </si>
  <si>
    <t xml:space="preserve">  Analyst: Graduate Operations Excellence Engineer  |  Methodology: ISO 55000 | ISO 14224 | SEMI E10 (OEE)  |  Reporting Period: Jan–Dec 2026</t>
  </si>
  <si>
    <t>TOTAL DT EVENTS</t>
  </si>
  <si>
    <t>UNPLANNED HOURS</t>
  </si>
  <si>
    <t>TOTAL DT COST</t>
  </si>
  <si>
    <t>AVAILABILITY</t>
  </si>
  <si>
    <t>OEE (ACTUAL)</t>
  </si>
  <si>
    <t>PROJECTED SAVINGS</t>
  </si>
  <si>
    <t>240</t>
  </si>
  <si>
    <t>1,474 hr</t>
  </si>
  <si>
    <t>$19.60M AUD</t>
  </si>
  <si>
    <t>82.5%</t>
  </si>
  <si>
    <t>74.8%</t>
  </si>
  <si>
    <t>$6.00M AUD</t>
  </si>
  <si>
    <t>2026 YTD · All Circuits</t>
  </si>
  <si>
    <t>Annual Unplanned Downtime</t>
  </si>
  <si>
    <t>Direct Cost · 2026</t>
  </si>
  <si>
    <t>Target 89.8%</t>
  </si>
  <si>
    <t>Target 81.5%  (+6.7pp)</t>
  </si>
  <si>
    <t>Payback 5.0 months</t>
  </si>
  <si>
    <t xml:space="preserve">  ▶  TOP FAILURE MODES — PARETO ANALYSIS (Hours)</t>
  </si>
  <si>
    <t xml:space="preserve">  ▶  MONTHLY DOWNTIME TREND — HOURS &amp; TARGET</t>
  </si>
  <si>
    <t>Rank</t>
  </si>
  <si>
    <t>Failure Mode</t>
  </si>
  <si>
    <t>Hours</t>
  </si>
  <si>
    <t>Cum%</t>
  </si>
  <si>
    <t>Status</t>
  </si>
  <si>
    <t>Month</t>
  </si>
  <si>
    <t>Events</t>
  </si>
  <si>
    <t>DT Hrs</t>
  </si>
  <si>
    <t>Avail%</t>
  </si>
  <si>
    <t>RAG</t>
  </si>
  <si>
    <t>Liner / Wear Plate Wear</t>
  </si>
  <si>
    <t>✓</t>
  </si>
  <si>
    <t>Jan</t>
  </si>
  <si>
    <t>🔴</t>
  </si>
  <si>
    <t>Belt Rip / Splice Failure</t>
  </si>
  <si>
    <t>Feb</t>
  </si>
  <si>
    <t>Coupling Failure</t>
  </si>
  <si>
    <t>Mar</t>
  </si>
  <si>
    <t>🟢</t>
  </si>
  <si>
    <t>Gearbox Failure</t>
  </si>
  <si>
    <t>Apr</t>
  </si>
  <si>
    <t>Electrical Fault / Trip</t>
  </si>
  <si>
    <t>May</t>
  </si>
  <si>
    <t>Seal Leak / Failure</t>
  </si>
  <si>
    <t>Jun</t>
  </si>
  <si>
    <t>🟡</t>
  </si>
  <si>
    <t>Bearing Failure</t>
  </si>
  <si>
    <t>Jul</t>
  </si>
  <si>
    <t>Impeller Wear / Cavitation</t>
  </si>
  <si>
    <t>Aug</t>
  </si>
  <si>
    <t>Process Blockage / Choke</t>
  </si>
  <si>
    <t>Sep</t>
  </si>
  <si>
    <t>Motor Burnout</t>
  </si>
  <si>
    <t>Oct</t>
  </si>
  <si>
    <t>Screen Blinding / Panel Damage</t>
  </si>
  <si>
    <t>Nov</t>
  </si>
  <si>
    <t>Instrumentation Fault</t>
  </si>
  <si>
    <t>Dec</t>
  </si>
  <si>
    <t>Unplanned Power Outage</t>
  </si>
  <si>
    <t>Hydraulic System Failure</t>
  </si>
  <si>
    <t>Structural Crack / Weld Failure</t>
  </si>
  <si>
    <t>Reagent Supply Interruption</t>
  </si>
  <si>
    <t xml:space="preserve">  ▶  COST IMPACT BY EQUIPMENT AREA (AUD)</t>
  </si>
  <si>
    <t xml:space="preserve">  ▶  RELIABILITY METRICS SUMMARY</t>
  </si>
  <si>
    <t>Area / Circuit</t>
  </si>
  <si>
    <t>Cost (AUD)</t>
  </si>
  <si>
    <t>MTTR (hr)</t>
  </si>
  <si>
    <t>Area</t>
  </si>
  <si>
    <t>MTBF days</t>
  </si>
  <si>
    <t>MTTR hr</t>
  </si>
  <si>
    <t>Avail %</t>
  </si>
  <si>
    <t>OEE %</t>
  </si>
  <si>
    <t>Grinding Circuit</t>
  </si>
  <si>
    <t>✓ ON TARGET</t>
  </si>
  <si>
    <t>Crushing Circuit</t>
  </si>
  <si>
    <t>Materials Handling</t>
  </si>
  <si>
    <t>Flotation Circuit</t>
  </si>
  <si>
    <t>Pumping &amp; Pipelines</t>
  </si>
  <si>
    <t>Electrical &amp; Instrumentation</t>
  </si>
  <si>
    <t>Night Shift → 874.9 hours (the night workers had the hardest time)
Afternoon Shift → 661 hours
Day Shift → 471.5 hours (day shift was best)</t>
  </si>
  <si>
    <t>Process Auxiliaries</t>
  </si>
  <si>
    <t>Tailings &amp; Water</t>
  </si>
  <si>
    <t xml:space="preserve">  ▶  MTTR | MTBF | AVAILABILITY | OEE — BY CIRCUIT  (Green = On Target / Amber = Monitor / Red = Action Required)</t>
  </si>
  <si>
    <t># Failures</t>
  </si>
  <si>
    <t>Total Hrs</t>
  </si>
  <si>
    <t>MTBF (days)</t>
  </si>
  <si>
    <t>Availability</t>
  </si>
  <si>
    <t xml:space="preserve">  ★  PROJECTED ANNUAL VALUE:  AUD $6.00M  |  Payback: 5.0 months  |  3-Year NPV: AUD $11.9M  |  3-Year ROI: 619%  |  Availability Uplift: +7.4pp  |  OEE Uplift: +6.7pp  ★</t>
  </si>
  <si>
    <t>Data: Simulated 2026 operations log modelled on public Glencore/BHP/Fortescue annual reports &amp; ASX disclosures  |  Cost Rate: AUD $9,500/hr (lost margin + fixed costs)  |  Methodology: Pareto (ISO 55000), OEE (SEMI E10), MTTR/MTBF (ISO 14224)</t>
  </si>
  <si>
    <t>Afternoon Shift</t>
  </si>
  <si>
    <t>Day Shift</t>
  </si>
  <si>
    <t>Night Shift</t>
  </si>
  <si>
    <t>MCARTHUR RIVER ZINC PROCESSING — DOWNTIME EVENT LOG 2026</t>
  </si>
  <si>
    <t>Source: Simulated 2026 operations data modelled on Glencore/BHP/Fortescue public annual reports  |  Cost Rate: AUD $9,500/hr (lost margin + fixed cost absorption)  |  Design Throughput: 1,200 tph</t>
  </si>
  <si>
    <t>Incident ID</t>
  </si>
  <si>
    <t>Date</t>
  </si>
  <si>
    <t>Mo#</t>
  </si>
  <si>
    <t>Equipment</t>
  </si>
  <si>
    <t>Equip Type</t>
  </si>
  <si>
    <t>Root Cause</t>
  </si>
  <si>
    <t>Shift</t>
  </si>
  <si>
    <t>Duration
(hr)</t>
  </si>
  <si>
    <t>Prod Loss
(t)</t>
  </si>
  <si>
    <t>Cost
(AUD)</t>
  </si>
  <si>
    <t>Planned/
Unplanned</t>
  </si>
  <si>
    <t>Priority</t>
  </si>
  <si>
    <t>Work Order</t>
  </si>
  <si>
    <t>Crew</t>
  </si>
  <si>
    <t>DT-1073</t>
  </si>
  <si>
    <t>Primary Crusher</t>
  </si>
  <si>
    <t>Mechanical</t>
  </si>
  <si>
    <t>Incorrect Installation / Rebuild</t>
  </si>
  <si>
    <t>Planned</t>
  </si>
  <si>
    <t>P2-High</t>
  </si>
  <si>
    <t>WO-568238</t>
  </si>
  <si>
    <t>Contractor</t>
  </si>
  <si>
    <t>DT-1023</t>
  </si>
  <si>
    <t>Cone Crusher #3</t>
  </si>
  <si>
    <t>Lack of Procedure</t>
  </si>
  <si>
    <t>Unplanned</t>
  </si>
  <si>
    <t>P1-Critical</t>
  </si>
  <si>
    <t>WO-465962</t>
  </si>
  <si>
    <t>Crew Alpha</t>
  </si>
  <si>
    <t>DT-1027</t>
  </si>
  <si>
    <t>Feed Pump P-302</t>
  </si>
  <si>
    <t>P3-Medium</t>
  </si>
  <si>
    <t>WO-710805</t>
  </si>
  <si>
    <t>Crew Bravo</t>
  </si>
  <si>
    <t>DT-1197</t>
  </si>
  <si>
    <t>Inadequate PM Frequency</t>
  </si>
  <si>
    <t>WO-199994</t>
  </si>
  <si>
    <t>DT-1190</t>
  </si>
  <si>
    <t>SAG Mill #1</t>
  </si>
  <si>
    <t>WO-341192</t>
  </si>
  <si>
    <t>DT-1108</t>
  </si>
  <si>
    <t>WO-537983</t>
  </si>
  <si>
    <t>Crew Charlie</t>
  </si>
  <si>
    <t>DT-1216</t>
  </si>
  <si>
    <t>Overloading / Abusive Operation</t>
  </si>
  <si>
    <t>P4-Low</t>
  </si>
  <si>
    <t>WO-641058</t>
  </si>
  <si>
    <t>DT-1103</t>
  </si>
  <si>
    <t>Thickener #2</t>
  </si>
  <si>
    <t>Vendor / Parts Quality</t>
  </si>
  <si>
    <t>WO-250210</t>
  </si>
  <si>
    <t>DT-1126</t>
  </si>
  <si>
    <t>Ball Mill #1</t>
  </si>
  <si>
    <t>WO-400814</t>
  </si>
  <si>
    <t>DT-1147</t>
  </si>
  <si>
    <t>Conveyor CV-05</t>
  </si>
  <si>
    <t>WO-748133</t>
  </si>
  <si>
    <t>DT-1030</t>
  </si>
  <si>
    <t>Ball Mill #2</t>
  </si>
  <si>
    <t>Design Deficiency</t>
  </si>
  <si>
    <t>WO-333752</t>
  </si>
  <si>
    <t>DT-1028</t>
  </si>
  <si>
    <t>Secondary Crusher</t>
  </si>
  <si>
    <t>PM Task Incomplete / Incorrect</t>
  </si>
  <si>
    <t>WO-526117</t>
  </si>
  <si>
    <t>DT-1128</t>
  </si>
  <si>
    <t>SAG Mill #2</t>
  </si>
  <si>
    <t>WO-725726</t>
  </si>
  <si>
    <t>DT-1083</t>
  </si>
  <si>
    <t>External – Power Network</t>
  </si>
  <si>
    <t>WO-329642</t>
  </si>
  <si>
    <t>DT-1105</t>
  </si>
  <si>
    <t>Vibrating Screen SC-02</t>
  </si>
  <si>
    <t>WO-326040</t>
  </si>
  <si>
    <t>DT-1026</t>
  </si>
  <si>
    <t>Flotation Cell Bank B</t>
  </si>
  <si>
    <t>Process</t>
  </si>
  <si>
    <t>Operator Error</t>
  </si>
  <si>
    <t>WO-374680</t>
  </si>
  <si>
    <t>DT-1165</t>
  </si>
  <si>
    <t>Slurry Pump P-204</t>
  </si>
  <si>
    <t>WO-677086</t>
  </si>
  <si>
    <t>DT-1176</t>
  </si>
  <si>
    <t>WO-882032</t>
  </si>
  <si>
    <t>DT-1177</t>
  </si>
  <si>
    <t>Thickener #1</t>
  </si>
  <si>
    <t>WO-288724</t>
  </si>
  <si>
    <t>DT-1021</t>
  </si>
  <si>
    <t>WO-707040</t>
  </si>
  <si>
    <t>DT-1031</t>
  </si>
  <si>
    <t>Concentrate Pump P-101</t>
  </si>
  <si>
    <t>WO-447235</t>
  </si>
  <si>
    <t>DT-1015</t>
  </si>
  <si>
    <t>WO-698782</t>
  </si>
  <si>
    <t>DT-1063</t>
  </si>
  <si>
    <t>WO-220351</t>
  </si>
  <si>
    <t>DT-1064</t>
  </si>
  <si>
    <t>Condition Monitoring Gap</t>
  </si>
  <si>
    <t>WO-230394</t>
  </si>
  <si>
    <t>DT-1038</t>
  </si>
  <si>
    <t>WO-355836</t>
  </si>
  <si>
    <t>DT-1137</t>
  </si>
  <si>
    <t>WO-249715</t>
  </si>
  <si>
    <t>DT-1012</t>
  </si>
  <si>
    <t>Process Upset (Feed Change)</t>
  </si>
  <si>
    <t>WO-791798</t>
  </si>
  <si>
    <t>DT-1097</t>
  </si>
  <si>
    <t>Flotation Cell Bank A</t>
  </si>
  <si>
    <t>WO-440981</t>
  </si>
  <si>
    <t>DT-1046</t>
  </si>
  <si>
    <t>Power Transformer TX-01</t>
  </si>
  <si>
    <t>Electrical</t>
  </si>
  <si>
    <t>WO-576786</t>
  </si>
  <si>
    <t>DT-1205</t>
  </si>
  <si>
    <t>Vibrating Screen SC-01</t>
  </si>
  <si>
    <t>Contamination / Foreign Object</t>
  </si>
  <si>
    <t>WO-245584</t>
  </si>
  <si>
    <t>DT-1212</t>
  </si>
  <si>
    <t>WO-776364</t>
  </si>
  <si>
    <t>DT-1104</t>
  </si>
  <si>
    <t>WO-440140</t>
  </si>
  <si>
    <t>DT-1114</t>
  </si>
  <si>
    <t>WO-143015</t>
  </si>
  <si>
    <t>DT-1016</t>
  </si>
  <si>
    <t>WO-785197</t>
  </si>
  <si>
    <t>DT-1228</t>
  </si>
  <si>
    <t>VFD Drive E-12</t>
  </si>
  <si>
    <t>WO-233051</t>
  </si>
  <si>
    <t>DT-1100</t>
  </si>
  <si>
    <t>WO-445658</t>
  </si>
  <si>
    <t>DT-1195</t>
  </si>
  <si>
    <t>Overland Conveyor CV-02</t>
  </si>
  <si>
    <t>WO-516176</t>
  </si>
  <si>
    <t>DT-1236</t>
  </si>
  <si>
    <t>WO-239613</t>
  </si>
  <si>
    <t>DT-1025</t>
  </si>
  <si>
    <t>WO-765046</t>
  </si>
  <si>
    <t>DT-1039</t>
  </si>
  <si>
    <t>WO-989545</t>
  </si>
  <si>
    <t>DT-1168</t>
  </si>
  <si>
    <t>WO-240718</t>
  </si>
  <si>
    <t>DT-1213</t>
  </si>
  <si>
    <t>Reagent Dosing System</t>
  </si>
  <si>
    <t>WO-331768</t>
  </si>
  <si>
    <t>DT-1017</t>
  </si>
  <si>
    <t>WO-179046</t>
  </si>
  <si>
    <t>DT-1088</t>
  </si>
  <si>
    <t>WO-332120</t>
  </si>
  <si>
    <t>DT-1009</t>
  </si>
  <si>
    <t>WO-265840</t>
  </si>
  <si>
    <t>DT-1071</t>
  </si>
  <si>
    <t>Flotation Cell Bank C</t>
  </si>
  <si>
    <t>WO-386706</t>
  </si>
  <si>
    <t>DT-1150</t>
  </si>
  <si>
    <t>WO-538446</t>
  </si>
  <si>
    <t>DT-1153</t>
  </si>
  <si>
    <t>WO-304110</t>
  </si>
  <si>
    <t>DT-1160</t>
  </si>
  <si>
    <t>WO-581992</t>
  </si>
  <si>
    <t>DT-1221</t>
  </si>
  <si>
    <t>WO-281649</t>
  </si>
  <si>
    <t>DT-1149</t>
  </si>
  <si>
    <t>WO-897615</t>
  </si>
  <si>
    <t>DT-1185</t>
  </si>
  <si>
    <t>WO-507286</t>
  </si>
  <si>
    <t>DT-1111</t>
  </si>
  <si>
    <t>WO-179013</t>
  </si>
  <si>
    <t>DT-1060</t>
  </si>
  <si>
    <t>WO-536390</t>
  </si>
  <si>
    <t>DT-1005</t>
  </si>
  <si>
    <t>WO-905635</t>
  </si>
  <si>
    <t>DT-1234</t>
  </si>
  <si>
    <t>WO-837880</t>
  </si>
  <si>
    <t>DT-1237</t>
  </si>
  <si>
    <t>WO-563873</t>
  </si>
  <si>
    <t>DT-1167</t>
  </si>
  <si>
    <t>WO-885386</t>
  </si>
  <si>
    <t>DT-1029</t>
  </si>
  <si>
    <t>MCC Panel E-07</t>
  </si>
  <si>
    <t>WO-802448</t>
  </si>
  <si>
    <t>DT-1057</t>
  </si>
  <si>
    <t>WO-205409</t>
  </si>
  <si>
    <t>DT-1001</t>
  </si>
  <si>
    <t>WO-106814</t>
  </si>
  <si>
    <t>DT-1142</t>
  </si>
  <si>
    <t>WO-942700</t>
  </si>
  <si>
    <t>DT-1233</t>
  </si>
  <si>
    <t>WO-197874</t>
  </si>
  <si>
    <t>DT-1043</t>
  </si>
  <si>
    <t>WO-703655</t>
  </si>
  <si>
    <t>DT-1199</t>
  </si>
  <si>
    <t>WO-691353</t>
  </si>
  <si>
    <t>DT-1218</t>
  </si>
  <si>
    <t>WO-483561</t>
  </si>
  <si>
    <t>DT-1183</t>
  </si>
  <si>
    <t>WO-756401</t>
  </si>
  <si>
    <t>DT-1000</t>
  </si>
  <si>
    <t>WO-131244</t>
  </si>
  <si>
    <t>DT-1014</t>
  </si>
  <si>
    <t>WO-761759</t>
  </si>
  <si>
    <t>DT-1145</t>
  </si>
  <si>
    <t>WO-677599</t>
  </si>
  <si>
    <t>DT-1235</t>
  </si>
  <si>
    <t>WO-542828</t>
  </si>
  <si>
    <t>DT-1193</t>
  </si>
  <si>
    <t>Main Conveyor CV-01</t>
  </si>
  <si>
    <t>WO-799143</t>
  </si>
  <si>
    <t>DT-1122</t>
  </si>
  <si>
    <t>WO-947903</t>
  </si>
  <si>
    <t>DT-1226</t>
  </si>
  <si>
    <t>WO-274044</t>
  </si>
  <si>
    <t>DT-1062</t>
  </si>
  <si>
    <t>WO-134225</t>
  </si>
  <si>
    <t>DT-1152</t>
  </si>
  <si>
    <t>WO-805188</t>
  </si>
  <si>
    <t>DT-1048</t>
  </si>
  <si>
    <t>WO-328552</t>
  </si>
  <si>
    <t>DT-1094</t>
  </si>
  <si>
    <t>WO-717457</t>
  </si>
  <si>
    <t>DT-1041</t>
  </si>
  <si>
    <t>WO-387936</t>
  </si>
  <si>
    <t>DT-1032</t>
  </si>
  <si>
    <t>WO-636265</t>
  </si>
  <si>
    <t>DT-1135</t>
  </si>
  <si>
    <t>WO-408036</t>
  </si>
  <si>
    <t>DT-1006</t>
  </si>
  <si>
    <t>WO-514850</t>
  </si>
  <si>
    <t>DT-1134</t>
  </si>
  <si>
    <t>WO-295892</t>
  </si>
  <si>
    <t>DT-1053</t>
  </si>
  <si>
    <t>WO-618317</t>
  </si>
  <si>
    <t>DT-1078</t>
  </si>
  <si>
    <t>WO-205389</t>
  </si>
  <si>
    <t>DT-1107</t>
  </si>
  <si>
    <t>WO-341288</t>
  </si>
  <si>
    <t>DT-1182</t>
  </si>
  <si>
    <t>WO-436241</t>
  </si>
  <si>
    <t>DT-1129</t>
  </si>
  <si>
    <t>WO-648913</t>
  </si>
  <si>
    <t>DT-1085</t>
  </si>
  <si>
    <t>WO-656639</t>
  </si>
  <si>
    <t>DT-1061</t>
  </si>
  <si>
    <t>WO-204053</t>
  </si>
  <si>
    <t>DT-1220</t>
  </si>
  <si>
    <t>WO-291936</t>
  </si>
  <si>
    <t>DT-1148</t>
  </si>
  <si>
    <t>WO-265759</t>
  </si>
  <si>
    <t>DT-1113</t>
  </si>
  <si>
    <t>WO-159653</t>
  </si>
  <si>
    <t>DT-1133</t>
  </si>
  <si>
    <t>WO-400009</t>
  </si>
  <si>
    <t>DT-1042</t>
  </si>
  <si>
    <t>WO-167348</t>
  </si>
  <si>
    <t>DT-1141</t>
  </si>
  <si>
    <t>Process Water System</t>
  </si>
  <si>
    <t>WO-846385</t>
  </si>
  <si>
    <t>DT-1079</t>
  </si>
  <si>
    <t>WO-814919</t>
  </si>
  <si>
    <t>DT-1077</t>
  </si>
  <si>
    <t>WO-611650</t>
  </si>
  <si>
    <t>DT-1171</t>
  </si>
  <si>
    <t>WO-800224</t>
  </si>
  <si>
    <t>DT-1117</t>
  </si>
  <si>
    <t>WO-731977</t>
  </si>
  <si>
    <t>DT-1002</t>
  </si>
  <si>
    <t>WO-865179</t>
  </si>
  <si>
    <t>DT-1045</t>
  </si>
  <si>
    <t>WO-752483</t>
  </si>
  <si>
    <t>DT-1110</t>
  </si>
  <si>
    <t>WO-913934</t>
  </si>
  <si>
    <t>DT-1054</t>
  </si>
  <si>
    <t>WO-353080</t>
  </si>
  <si>
    <t>DT-1120</t>
  </si>
  <si>
    <t>WO-926403</t>
  </si>
  <si>
    <t>DT-1201</t>
  </si>
  <si>
    <t>WO-386604</t>
  </si>
  <si>
    <t>DT-1215</t>
  </si>
  <si>
    <t>WO-574425</t>
  </si>
  <si>
    <t>DT-1180</t>
  </si>
  <si>
    <t>WO-744793</t>
  </si>
  <si>
    <t>DT-1118</t>
  </si>
  <si>
    <t>WO-424620</t>
  </si>
  <si>
    <t>DT-1209</t>
  </si>
  <si>
    <t>WO-128223</t>
  </si>
  <si>
    <t>DT-1138</t>
  </si>
  <si>
    <t>WO-490084</t>
  </si>
  <si>
    <t>DT-1157</t>
  </si>
  <si>
    <t>WO-821466</t>
  </si>
  <si>
    <t>DT-1230</t>
  </si>
  <si>
    <t>WO-866437</t>
  </si>
  <si>
    <t>DT-1173</t>
  </si>
  <si>
    <t>WO-898867</t>
  </si>
  <si>
    <t>DT-1004</t>
  </si>
  <si>
    <t>WO-835911</t>
  </si>
  <si>
    <t>DT-1019</t>
  </si>
  <si>
    <t>WO-921414</t>
  </si>
  <si>
    <t>DT-1075</t>
  </si>
  <si>
    <t>WO-626690</t>
  </si>
  <si>
    <t>DT-1044</t>
  </si>
  <si>
    <t>WO-331251</t>
  </si>
  <si>
    <t>DT-1163</t>
  </si>
  <si>
    <t>WO-463188</t>
  </si>
  <si>
    <t>DT-1207</t>
  </si>
  <si>
    <t>WO-782661</t>
  </si>
  <si>
    <t>DT-1139</t>
  </si>
  <si>
    <t>WO-688956</t>
  </si>
  <si>
    <t>DT-1068</t>
  </si>
  <si>
    <t>WO-910075</t>
  </si>
  <si>
    <t>DT-1194</t>
  </si>
  <si>
    <t>WO-831758</t>
  </si>
  <si>
    <t>DT-1047</t>
  </si>
  <si>
    <t>WO-335113</t>
  </si>
  <si>
    <t>DT-1095</t>
  </si>
  <si>
    <t>WO-573962</t>
  </si>
  <si>
    <t>DT-1178</t>
  </si>
  <si>
    <t>WO-815894</t>
  </si>
  <si>
    <t>DT-1101</t>
  </si>
  <si>
    <t>WO-323072</t>
  </si>
  <si>
    <t>DT-1225</t>
  </si>
  <si>
    <t>WO-465509</t>
  </si>
  <si>
    <t>DT-1170</t>
  </si>
  <si>
    <t>WO-360096</t>
  </si>
  <si>
    <t>DT-1202</t>
  </si>
  <si>
    <t>WO-847748</t>
  </si>
  <si>
    <t>DT-1206</t>
  </si>
  <si>
    <t>WO-619886</t>
  </si>
  <si>
    <t>DT-1125</t>
  </si>
  <si>
    <t>WO-515712</t>
  </si>
  <si>
    <t>DT-1070</t>
  </si>
  <si>
    <t>WO-266071</t>
  </si>
  <si>
    <t>DT-1116</t>
  </si>
  <si>
    <t>WO-528625</t>
  </si>
  <si>
    <t>DT-1223</t>
  </si>
  <si>
    <t>WO-335765</t>
  </si>
  <si>
    <t>DT-1136</t>
  </si>
  <si>
    <t>WO-469685</t>
  </si>
  <si>
    <t>DT-1181</t>
  </si>
  <si>
    <t>WO-665979</t>
  </si>
  <si>
    <t>DT-1127</t>
  </si>
  <si>
    <t>WO-862560</t>
  </si>
  <si>
    <t>DT-1186</t>
  </si>
  <si>
    <t>WO-734356</t>
  </si>
  <si>
    <t>DT-1222</t>
  </si>
  <si>
    <t>WO-688861</t>
  </si>
  <si>
    <t>DT-1092</t>
  </si>
  <si>
    <t>WO-355400</t>
  </si>
  <si>
    <t>DT-1099</t>
  </si>
  <si>
    <t>WO-260053</t>
  </si>
  <si>
    <t>DT-1074</t>
  </si>
  <si>
    <t>WO-530728</t>
  </si>
  <si>
    <t>DT-1169</t>
  </si>
  <si>
    <t>WO-894068</t>
  </si>
  <si>
    <t>DT-1217</t>
  </si>
  <si>
    <t>WO-873207</t>
  </si>
  <si>
    <t>DT-1189</t>
  </si>
  <si>
    <t>WO-428122</t>
  </si>
  <si>
    <t>DT-1166</t>
  </si>
  <si>
    <t>WO-193806</t>
  </si>
  <si>
    <t>DT-1059</t>
  </si>
  <si>
    <t>WO-168517</t>
  </si>
  <si>
    <t>DT-1132</t>
  </si>
  <si>
    <t>WO-311383</t>
  </si>
  <si>
    <t>DT-1143</t>
  </si>
  <si>
    <t>WO-571832</t>
  </si>
  <si>
    <t>DT-1208</t>
  </si>
  <si>
    <t>WO-703853</t>
  </si>
  <si>
    <t>DT-1086</t>
  </si>
  <si>
    <t>WO-890785</t>
  </si>
  <si>
    <t>DT-1082</t>
  </si>
  <si>
    <t>WO-970357</t>
  </si>
  <si>
    <t>DT-1219</t>
  </si>
  <si>
    <t>WO-469082</t>
  </si>
  <si>
    <t>DT-1224</t>
  </si>
  <si>
    <t>WO-668373</t>
  </si>
  <si>
    <t>DT-1010</t>
  </si>
  <si>
    <t>WO-738551</t>
  </si>
  <si>
    <t>DT-1065</t>
  </si>
  <si>
    <t>WO-362529</t>
  </si>
  <si>
    <t>DT-1146</t>
  </si>
  <si>
    <t>WO-734534</t>
  </si>
  <si>
    <t>DT-1051</t>
  </si>
  <si>
    <t>WO-766459</t>
  </si>
  <si>
    <t>DT-1130</t>
  </si>
  <si>
    <t>WO-883618</t>
  </si>
  <si>
    <t>DT-1175</t>
  </si>
  <si>
    <t>WO-947975</t>
  </si>
  <si>
    <t>DT-1022</t>
  </si>
  <si>
    <t>WO-804318</t>
  </si>
  <si>
    <t>DT-1076</t>
  </si>
  <si>
    <t>WO-592296</t>
  </si>
  <si>
    <t>DT-1121</t>
  </si>
  <si>
    <t>WO-971728</t>
  </si>
  <si>
    <t>DT-1174</t>
  </si>
  <si>
    <t>WO-630041</t>
  </si>
  <si>
    <t>DT-1011</t>
  </si>
  <si>
    <t>WO-972064</t>
  </si>
  <si>
    <t>DT-1231</t>
  </si>
  <si>
    <t>WO-673896</t>
  </si>
  <si>
    <t>DT-1007</t>
  </si>
  <si>
    <t>WO-634277</t>
  </si>
  <si>
    <t>DT-1164</t>
  </si>
  <si>
    <t>WO-354235</t>
  </si>
  <si>
    <t>DT-1179</t>
  </si>
  <si>
    <t>WO-585494</t>
  </si>
  <si>
    <t>DT-1200</t>
  </si>
  <si>
    <t>WO-881667</t>
  </si>
  <si>
    <t>DT-1069</t>
  </si>
  <si>
    <t>WO-896907</t>
  </si>
  <si>
    <t>DT-1192</t>
  </si>
  <si>
    <t>WO-800674</t>
  </si>
  <si>
    <t>DT-1024</t>
  </si>
  <si>
    <t>WO-795613</t>
  </si>
  <si>
    <t>DT-1081</t>
  </si>
  <si>
    <t>WO-823846</t>
  </si>
  <si>
    <t>DT-1056</t>
  </si>
  <si>
    <t>WO-430876</t>
  </si>
  <si>
    <t>DT-1154</t>
  </si>
  <si>
    <t>WO-491326</t>
  </si>
  <si>
    <t>DT-1003</t>
  </si>
  <si>
    <t>WO-338968</t>
  </si>
  <si>
    <t>DT-1072</t>
  </si>
  <si>
    <t>WO-389666</t>
  </si>
  <si>
    <t>DT-1144</t>
  </si>
  <si>
    <t>WO-230192</t>
  </si>
  <si>
    <t>DT-1093</t>
  </si>
  <si>
    <t>WO-102973</t>
  </si>
  <si>
    <t>DT-1102</t>
  </si>
  <si>
    <t>WO-904711</t>
  </si>
  <si>
    <t>DT-1087</t>
  </si>
  <si>
    <t>WO-885395</t>
  </si>
  <si>
    <t>DT-1204</t>
  </si>
  <si>
    <t>WO-922543</t>
  </si>
  <si>
    <t>DT-1040</t>
  </si>
  <si>
    <t>WO-970914</t>
  </si>
  <si>
    <t>DT-1112</t>
  </si>
  <si>
    <t>WO-757685</t>
  </si>
  <si>
    <t>DT-1198</t>
  </si>
  <si>
    <t>WO-790077</t>
  </si>
  <si>
    <t>DT-1227</t>
  </si>
  <si>
    <t>WO-700556</t>
  </si>
  <si>
    <t>DT-1123</t>
  </si>
  <si>
    <t>WO-269930</t>
  </si>
  <si>
    <t>DT-1066</t>
  </si>
  <si>
    <t>WO-283700</t>
  </si>
  <si>
    <t>DT-1151</t>
  </si>
  <si>
    <t>WO-423528</t>
  </si>
  <si>
    <t>DT-1020</t>
  </si>
  <si>
    <t>WO-994141</t>
  </si>
  <si>
    <t>DT-1158</t>
  </si>
  <si>
    <t>WO-912233</t>
  </si>
  <si>
    <t>DT-1067</t>
  </si>
  <si>
    <t>WO-209680</t>
  </si>
  <si>
    <t>DT-1238</t>
  </si>
  <si>
    <t>WO-188341</t>
  </si>
  <si>
    <t>DT-1106</t>
  </si>
  <si>
    <t>WO-314353</t>
  </si>
  <si>
    <t>DT-1211</t>
  </si>
  <si>
    <t>WO-138551</t>
  </si>
  <si>
    <t>DT-1155</t>
  </si>
  <si>
    <t>WO-644559</t>
  </si>
  <si>
    <t>DT-1098</t>
  </si>
  <si>
    <t>WO-855855</t>
  </si>
  <si>
    <t>DT-1115</t>
  </si>
  <si>
    <t>WO-849014</t>
  </si>
  <si>
    <t>DT-1013</t>
  </si>
  <si>
    <t>WO-518373</t>
  </si>
  <si>
    <t>DT-1049</t>
  </si>
  <si>
    <t>WO-427110</t>
  </si>
  <si>
    <t>DT-1140</t>
  </si>
  <si>
    <t>WO-281043</t>
  </si>
  <si>
    <t>DT-1156</t>
  </si>
  <si>
    <t>WO-968524</t>
  </si>
  <si>
    <t>DT-1109</t>
  </si>
  <si>
    <t>WO-717476</t>
  </si>
  <si>
    <t>DT-1037</t>
  </si>
  <si>
    <t>WO-125611</t>
  </si>
  <si>
    <t>DT-1080</t>
  </si>
  <si>
    <t>WO-367729</t>
  </si>
  <si>
    <t>DT-1034</t>
  </si>
  <si>
    <t>WO-442027</t>
  </si>
  <si>
    <t>DT-1008</t>
  </si>
  <si>
    <t>WO-654816</t>
  </si>
  <si>
    <t>DT-1203</t>
  </si>
  <si>
    <t>WO-477400</t>
  </si>
  <si>
    <t>DT-1124</t>
  </si>
  <si>
    <t>WO-187949</t>
  </si>
  <si>
    <t>DT-1184</t>
  </si>
  <si>
    <t>WO-292811</t>
  </si>
  <si>
    <t>DT-1055</t>
  </si>
  <si>
    <t>WO-421080</t>
  </si>
  <si>
    <t>DT-1089</t>
  </si>
  <si>
    <t>WO-663658</t>
  </si>
  <si>
    <t>DT-1018</t>
  </si>
  <si>
    <t>WO-609231</t>
  </si>
  <si>
    <t>DT-1052</t>
  </si>
  <si>
    <t>WO-721254</t>
  </si>
  <si>
    <t>DT-1036</t>
  </si>
  <si>
    <t>WO-934692</t>
  </si>
  <si>
    <t>DT-1131</t>
  </si>
  <si>
    <t>WO-454992</t>
  </si>
  <si>
    <t>DT-1084</t>
  </si>
  <si>
    <t>WO-562236</t>
  </si>
  <si>
    <t>DT-1096</t>
  </si>
  <si>
    <t>WO-819425</t>
  </si>
  <si>
    <t>DT-1035</t>
  </si>
  <si>
    <t>WO-100425</t>
  </si>
  <si>
    <t>DT-1187</t>
  </si>
  <si>
    <t>WO-299254</t>
  </si>
  <si>
    <t>DT-1229</t>
  </si>
  <si>
    <t>WO-764406</t>
  </si>
  <si>
    <t>DT-1161</t>
  </si>
  <si>
    <t>WO-412999</t>
  </si>
  <si>
    <t>DT-1232</t>
  </si>
  <si>
    <t>WO-999312</t>
  </si>
  <si>
    <t>DT-1191</t>
  </si>
  <si>
    <t>WO-276405</t>
  </si>
  <si>
    <t>DT-1050</t>
  </si>
  <si>
    <t>WO-226935</t>
  </si>
  <si>
    <t>DT-1091</t>
  </si>
  <si>
    <t>WO-670913</t>
  </si>
  <si>
    <t>DT-1214</t>
  </si>
  <si>
    <t>WO-190025</t>
  </si>
  <si>
    <t>DT-1239</t>
  </si>
  <si>
    <t>WO-510780</t>
  </si>
  <si>
    <t>DT-1210</t>
  </si>
  <si>
    <t>WO-364955</t>
  </si>
  <si>
    <t>DT-1090</t>
  </si>
  <si>
    <t>WO-974190</t>
  </si>
  <si>
    <t>DT-1188</t>
  </si>
  <si>
    <t>WO-659572</t>
  </si>
  <si>
    <t>DT-1196</t>
  </si>
  <si>
    <t>WO-198042</t>
  </si>
  <si>
    <t>DT-1159</t>
  </si>
  <si>
    <t>WO-626195</t>
  </si>
  <si>
    <t>DT-1119</t>
  </si>
  <si>
    <t>WO-633188</t>
  </si>
  <si>
    <t>DT-1162</t>
  </si>
  <si>
    <t>WO-856719</t>
  </si>
  <si>
    <t>DT-1172</t>
  </si>
  <si>
    <t>WO-329772</t>
  </si>
  <si>
    <t>DT-1033</t>
  </si>
  <si>
    <t>WO-306606</t>
  </si>
  <si>
    <t>DT-1058</t>
  </si>
  <si>
    <t>WO-889359</t>
  </si>
  <si>
    <t>DOWNTIME CATEGORISATION — AREA, EQUIPMENT &amp; FAILURE MODE ANALYSIS</t>
  </si>
  <si>
    <t xml:space="preserve">  SECTION A — DOWNTIME BY AREA / CIRCUIT (All Events)</t>
  </si>
  <si>
    <t># Events</t>
  </si>
  <si>
    <t>Total Hours</t>
  </si>
  <si>
    <t>Total Cost (AUD)</t>
  </si>
  <si>
    <t>Avg Duration (hr)</t>
  </si>
  <si>
    <t>% of Total Hours</t>
  </si>
  <si>
    <t>% of Total Cost</t>
  </si>
  <si>
    <t>TOTAL</t>
  </si>
  <si>
    <t xml:space="preserve">  SECTION B — TOP 15 EQUIPMENT BY DOWNTIME HOURS</t>
  </si>
  <si>
    <t>Cumulative %</t>
  </si>
  <si>
    <t xml:space="preserve">  SECTION C — DOWNTIME BY FAILURE MODE</t>
  </si>
  <si>
    <t>% Total Hours</t>
  </si>
  <si>
    <t xml:space="preserve">  SECTION D — DOWNTIME BY SHIFT</t>
  </si>
  <si>
    <t>PARETO ANALYSIS — 80/20 DOWNTIME PRIORITISATION (ISO 55000 Aligned)</t>
  </si>
  <si>
    <t>Focus: Identify vital few failure modes / equipment driving 80% of unplanned downtime  |  Methodology: Juran Pareto  |  Standard: ISO 55000 / ISO 14224</t>
  </si>
  <si>
    <t xml:space="preserve">  PARETO 1 — FAILURE MODE RANKED BY DOWNTIME HOURS  (Vital Few → drive 80%+ of hours)</t>
  </si>
  <si>
    <t>Downtime Hours</t>
  </si>
  <si>
    <t>% Hours</t>
  </si>
  <si>
    <t>80% Line</t>
  </si>
  <si>
    <t>Vital Few?</t>
  </si>
  <si>
    <t>Priority Corrective Action</t>
  </si>
  <si>
    <t>✓ VITAL</t>
  </si>
  <si>
    <t>Optimise liner profile material; extend NDT inspection schedule</t>
  </si>
  <si>
    <t>Rip detection sensors; CCTV at all major transfer points</t>
  </si>
  <si>
    <t>Laser alignment standard; inspect coupling at every PM</t>
  </si>
  <si>
    <t>Oil analysis monthly; vibration monitoring on all gearboxes</t>
  </si>
  <si>
    <t>Thermographic inspection program; VFD parameter audit</t>
  </si>
  <si>
    <t>Standardise seal spec; predictive seal monitoring program</t>
  </si>
  <si>
    <t>Ultrasonic + vibration CM; double lube PM frequency</t>
  </si>
  <si>
    <t>Install flow meters; quarterly pump duty point review</t>
  </si>
  <si>
    <t>—</t>
  </si>
  <si>
    <t>Revised feed rate controls; blockage detection sensors</t>
  </si>
  <si>
    <t>Motor management program; continuous current monitoring &gt;75kW</t>
  </si>
  <si>
    <t>Upgrade panel material spec; automated spray cleaning</t>
  </si>
  <si>
    <t>Annual calibration schedule; redundancy on critical loops</t>
  </si>
  <si>
    <t>UPS on critical panels; power quality monitoring</t>
  </si>
  <si>
    <t>Oil condition monitoring; filter change interval review</t>
  </si>
  <si>
    <t>Quarterly NDT program; fatigue life engineering assessment</t>
  </si>
  <si>
    <t>Min inventory policy; dual-supplier agreement</t>
  </si>
  <si>
    <t xml:space="preserve">  PARETO 2 — EQUIPMENT RANKED BY TOTAL COST AUD  (Top 15)</t>
  </si>
  <si>
    <t>% Cost</t>
  </si>
  <si>
    <t>Cum % Cost</t>
  </si>
  <si>
    <t>COST OF DOWNTIME MODEL — SENSITIVITY ANALYSIS &amp; ROI PROJECTION (AUD 2026)</t>
  </si>
  <si>
    <t xml:space="preserve">  MODEL ASSUMPTIONS  (Blue = User Input)</t>
  </si>
  <si>
    <t>Parameter</t>
  </si>
  <si>
    <t>Value</t>
  </si>
  <si>
    <t>Unit</t>
  </si>
  <si>
    <t>Source / Notes</t>
  </si>
  <si>
    <t>Design Throughput</t>
  </si>
  <si>
    <t>tph</t>
  </si>
  <si>
    <t>Ore processing rate — McArthur River equivalent</t>
  </si>
  <si>
    <t>Operating Hours Target</t>
  </si>
  <si>
    <t>hr/yr</t>
  </si>
  <si>
    <t>350 days × 24 hr continuous operations</t>
  </si>
  <si>
    <t>Cost Rate — Downtime</t>
  </si>
  <si>
    <t>AUD/hr</t>
  </si>
  <si>
    <t>Lost margin + fixed cost absorption; Glencore 2025 AR benchmark</t>
  </si>
  <si>
    <t>Zinc Concentrate Yield</t>
  </si>
  <si>
    <t>t conc/t ore</t>
  </si>
  <si>
    <t>Industry typical 8% yield for zinc sulphide ore</t>
  </si>
  <si>
    <t>NSR per Tonne Concentrate</t>
  </si>
  <si>
    <t>AUD/t</t>
  </si>
  <si>
    <t>Net Smelter Return after TC/RC, transport, royalties</t>
  </si>
  <si>
    <t>Target OEE</t>
  </si>
  <si>
    <t>%</t>
  </si>
  <si>
    <t>Industry benchmark comparable zinc plant (SEMI E10)</t>
  </si>
  <si>
    <t>Current Availability</t>
  </si>
  <si>
    <t>From 2026 downtime log: (8400−unplanned hrs)/8400</t>
  </si>
  <si>
    <t>Target Availability</t>
  </si>
  <si>
    <t>Post Pareto 42% reduction scenario</t>
  </si>
  <si>
    <t>Unplanned DT Reduction Target</t>
  </si>
  <si>
    <t>Based on Pareto elimination of Top-6 failure modes</t>
  </si>
  <si>
    <t>Implementation Cost</t>
  </si>
  <si>
    <t>AUD</t>
  </si>
  <si>
    <t>CM sensors + PM tooling + engineering + training (est.)</t>
  </si>
  <si>
    <t xml:space="preserve">  CURRENT STATE — 2026 ACTUAL (Simulated Data)</t>
  </si>
  <si>
    <t>Metric</t>
  </si>
  <si>
    <t>Notes</t>
  </si>
  <si>
    <t>Total Downtime Events (All)</t>
  </si>
  <si>
    <t>events</t>
  </si>
  <si>
    <t>All planned + unplanned events</t>
  </si>
  <si>
    <t>Unplanned Downtime Events</t>
  </si>
  <si>
    <t>Excludes planned maintenance windows</t>
  </si>
  <si>
    <t>Total Unplanned Downtime Hours</t>
  </si>
  <si>
    <t>Sum of all unplanned event durations</t>
  </si>
  <si>
    <t>Direct Unplanned Downtime Cost</t>
  </si>
  <si>
    <t>At $9,500/hr weighted average</t>
  </si>
  <si>
    <t>Total Downtime Cost (All Events)</t>
  </si>
  <si>
    <t>Including planned — for full picture</t>
  </si>
  <si>
    <t>Current Plant Availability</t>
  </si>
  <si>
    <t xml:space="preserve"> =(8,400 − unplanned hrs) / 8,400)</t>
  </si>
  <si>
    <t>Current OEE</t>
  </si>
  <si>
    <t>Avail × Performance 0.95 × Quality 0.955</t>
  </si>
  <si>
    <t>Average MTTR — All Equipment</t>
  </si>
  <si>
    <t>hr</t>
  </si>
  <si>
    <t>Mean Time to Repair unplanned events</t>
  </si>
  <si>
    <t>Average MTBF — All Equipment</t>
  </si>
  <si>
    <t>days</t>
  </si>
  <si>
    <t>Mean Time Between Failures</t>
  </si>
  <si>
    <t>Lost Production (Unplanned)</t>
  </si>
  <si>
    <t>t/yr</t>
  </si>
  <si>
    <t>At 70% avg impact factor</t>
  </si>
  <si>
    <t xml:space="preserve">  TARGET STATE — POST PARETO INTERVENTION (42% Unplanned DT Reduction)</t>
  </si>
  <si>
    <t>Target Unplanned Hours</t>
  </si>
  <si>
    <t>42% reduction applied to baseline</t>
  </si>
  <si>
    <t>Hours Saved (Annual)</t>
  </si>
  <si>
    <t>Recovered production hours</t>
  </si>
  <si>
    <t>Target Plant Availability</t>
  </si>
  <si>
    <t xml:space="preserve"> =(8,400 − target unplanned hrs) / 8,400)</t>
  </si>
  <si>
    <t>Avail_target × Perf 0.95 × Qual 0.955</t>
  </si>
  <si>
    <t>Availability Improvement</t>
  </si>
  <si>
    <t>pp</t>
  </si>
  <si>
    <t>Percentage points uplift</t>
  </si>
  <si>
    <t>OEE Improvement</t>
  </si>
  <si>
    <t>Direct Cost Savings (Annual)</t>
  </si>
  <si>
    <t>42% of unplanned cost baseline</t>
  </si>
  <si>
    <t>One-time capital / opex program</t>
  </si>
  <si>
    <t>Simple Payback Period</t>
  </si>
  <si>
    <t>months</t>
  </si>
  <si>
    <t xml:space="preserve"> =impl cost / annual savings × 12</t>
  </si>
  <si>
    <t>3-Year NPV (12% discount)</t>
  </si>
  <si>
    <t>Annuity factor 2.402 @ 12% / 3yr</t>
  </si>
  <si>
    <t>3-Year ROI</t>
  </si>
  <si>
    <t xml:space="preserve"> =(3yr savings − impl cost) / impl cost)</t>
  </si>
  <si>
    <t>IRR (approximate)</t>
  </si>
  <si>
    <t>Single-period approximation</t>
  </si>
  <si>
    <t xml:space="preserve">  SENSITIVITY ANALYSIS — SAVINGS vs DOWNTIME REDUCTION SCENARIO</t>
  </si>
  <si>
    <t>Scenario</t>
  </si>
  <si>
    <t>DT Reduction %</t>
  </si>
  <si>
    <t>Hours Saved</t>
  </si>
  <si>
    <t>Direct Cost Saving</t>
  </si>
  <si>
    <t>Payback (months)</t>
  </si>
  <si>
    <t>3-yr NPV</t>
  </si>
  <si>
    <t>3-yr ROI</t>
  </si>
  <si>
    <t>Conservative — Top 3 fix</t>
  </si>
  <si>
    <t>Base Case — Top 6 fix</t>
  </si>
  <si>
    <t>TARGET — Pareto 42%</t>
  </si>
  <si>
    <t>Stretch — Full Program</t>
  </si>
  <si>
    <t>Best Practice Benchmark</t>
  </si>
  <si>
    <t xml:space="preserve">  RELIABILITY METRICS — MTTR / MTBF / AVAILABILITY / OEE BY CIRCUIT</t>
  </si>
  <si>
    <t>Total DT Hours</t>
  </si>
  <si>
    <t>Availability %</t>
  </si>
  <si>
    <t>MONTHLY TREND ANALYSIS — DOWNTIME HOURS, COST &amp; AVAILABILITY (JAN–DEC 2026)</t>
  </si>
  <si>
    <t>Unplanned Hrs</t>
  </si>
  <si>
    <t>Cum Hours</t>
  </si>
  <si>
    <t>Cum Cost (AUD)</t>
  </si>
  <si>
    <t>Target Unpl (hr/mo)</t>
  </si>
  <si>
    <t>vs Target (hr)</t>
  </si>
  <si>
    <t>RAG Status</t>
  </si>
  <si>
    <t>🔴 OVER</t>
  </si>
  <si>
    <t>🟢 OK</t>
  </si>
  <si>
    <t>🟡 WATCH</t>
  </si>
  <si>
    <t>ANNUAL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</si>
</sst>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0.0%"/>
    <numFmt numFmtId="165" formatCode="\$#,##0"/>
    <numFmt numFmtId="166" formatCode="dd\-mmm\-yy"/>
    <numFmt numFmtId="167" formatCode="0.0"/>
    <numFmt numFmtId="168" formatCode="#,##0.0"/>
    <numFmt numFmtId="169" formatCode="&quot;$&quot;#,##0"/>
  </numFmts>
  <fonts count="36" x14ac:knownFonts="1">
    <font>
      <sz val="11"/>
      <color theme="1"/>
      <name val="Calibri"/>
      <family val="2"/>
      <charset val="1"/>
    </font>
    <font>
      <sz val="10"/>
      <name val="Arial"/>
    </font>
    <font>
      <b/>
      <sz val="17"/>
      <color rgb="FFFFFFFF"/>
      <name val="Arial"/>
      <charset val="1"/>
    </font>
    <font>
      <i/>
      <sz val="10"/>
      <color rgb="FFFFFFFF"/>
      <name val="Arial"/>
      <charset val="1"/>
    </font>
    <font>
      <i/>
      <sz val="9"/>
      <color rgb="FFAAAAAA"/>
      <name val="Arial"/>
      <charset val="1"/>
    </font>
    <font>
      <b/>
      <sz val="8"/>
      <color rgb="FFCCDDEE"/>
      <name val="Arial"/>
      <charset val="1"/>
    </font>
    <font>
      <b/>
      <sz val="15"/>
      <color rgb="FFFFFFFF"/>
      <name val="Arial"/>
      <charset val="1"/>
    </font>
    <font>
      <i/>
      <sz val="8"/>
      <color rgb="FFDDDDDD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9"/>
      <color rgb="FFC0392B"/>
      <name val="Arial"/>
      <charset val="1"/>
    </font>
    <font>
      <b/>
      <sz val="9"/>
      <color rgb="FF1E8449"/>
      <name val="Arial"/>
      <charset val="1"/>
    </font>
    <font>
      <sz val="10"/>
      <name val="Arial"/>
      <charset val="1"/>
    </font>
    <font>
      <b/>
      <sz val="10"/>
      <color rgb="FF1E8449"/>
      <name val="Arial"/>
      <charset val="1"/>
    </font>
    <font>
      <b/>
      <sz val="12"/>
      <color rgb="FF0D1B2A"/>
      <name val="Arial"/>
      <charset val="1"/>
    </font>
    <font>
      <i/>
      <sz val="8"/>
      <color rgb="FF888888"/>
      <name val="Arial"/>
      <charset val="1"/>
    </font>
    <font>
      <b/>
      <sz val="13"/>
      <color rgb="FFFFFFFF"/>
      <name val="Arial"/>
      <charset val="1"/>
    </font>
    <font>
      <i/>
      <sz val="9"/>
      <color rgb="FF444444"/>
      <name val="Arial"/>
      <charset val="1"/>
    </font>
    <font>
      <b/>
      <sz val="9"/>
      <color rgb="FFE87722"/>
      <name val="Arial"/>
      <charset val="1"/>
    </font>
    <font>
      <b/>
      <sz val="9"/>
      <color rgb="FF2980B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sz val="10"/>
      <color rgb="FF555555"/>
      <name val="Arial"/>
      <charset val="1"/>
    </font>
    <font>
      <i/>
      <sz val="9"/>
      <color rgb="FF777777"/>
      <name val="Arial"/>
      <charset val="1"/>
    </font>
    <font>
      <b/>
      <sz val="10"/>
      <color rgb="FFC0392B"/>
      <name val="Arial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i/>
      <sz val="9"/>
      <color rgb="FFAAAAAA"/>
      <name val="Arial"/>
      <family val="2"/>
    </font>
    <font>
      <b/>
      <sz val="12"/>
      <color theme="1"/>
      <name val="Arial"/>
      <family val="2"/>
    </font>
    <font>
      <sz val="9"/>
      <color rgb="FFFF0000"/>
      <name val="Arial"/>
      <family val="2"/>
    </font>
    <font>
      <sz val="9"/>
      <color rgb="FF00B050"/>
      <name val="Arial"/>
      <family val="2"/>
    </font>
    <font>
      <sz val="9"/>
      <color rgb="FFFFFF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0D1B2A"/>
        <bgColor rgb="FF111111"/>
      </patternFill>
    </fill>
    <fill>
      <patternFill patternType="solid">
        <fgColor rgb="FF1B3A5C"/>
        <bgColor rgb="FF1A5276"/>
      </patternFill>
    </fill>
    <fill>
      <patternFill patternType="solid">
        <fgColor rgb="FF2E6DA4"/>
        <bgColor rgb="FF2980B9"/>
      </patternFill>
    </fill>
    <fill>
      <patternFill patternType="solid">
        <fgColor rgb="FFC0392B"/>
        <bgColor rgb="FF993366"/>
      </patternFill>
    </fill>
    <fill>
      <patternFill patternType="solid">
        <fgColor rgb="FF148F77"/>
        <bgColor rgb="FF1E8449"/>
      </patternFill>
    </fill>
    <fill>
      <patternFill patternType="solid">
        <fgColor rgb="FF1A5276"/>
        <bgColor rgb="FF1B3A5C"/>
      </patternFill>
    </fill>
    <fill>
      <patternFill patternType="solid">
        <fgColor rgb="FF1E8449"/>
        <bgColor rgb="FF148F77"/>
      </patternFill>
    </fill>
    <fill>
      <patternFill patternType="solid">
        <fgColor rgb="FFF2F2F2"/>
        <bgColor rgb="FFEDF2F7"/>
      </patternFill>
    </fill>
    <fill>
      <patternFill patternType="solid">
        <fgColor rgb="FFE87722"/>
        <bgColor rgb="FFFF9900"/>
      </patternFill>
    </fill>
    <fill>
      <patternFill patternType="solid">
        <fgColor rgb="FFFFD700"/>
        <bgColor rgb="FFFFFF00"/>
      </patternFill>
    </fill>
    <fill>
      <patternFill patternType="solid">
        <fgColor rgb="FFEDF2F7"/>
        <bgColor rgb="FFF2F2F2"/>
      </patternFill>
    </fill>
    <fill>
      <patternFill patternType="solid">
        <fgColor rgb="FFD5F5E3"/>
        <bgColor rgb="FFDCF1E8"/>
      </patternFill>
    </fill>
    <fill>
      <patternFill patternType="solid">
        <fgColor rgb="FFFDECEA"/>
        <bgColor rgb="FFF2F2F2"/>
      </patternFill>
    </fill>
    <fill>
      <patternFill patternType="solid">
        <fgColor rgb="FFFFF3CD"/>
        <bgColor rgb="FFFDECEA"/>
      </patternFill>
    </fill>
    <fill>
      <patternFill patternType="solid">
        <fgColor rgb="FFFFCE3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rgb="FFEDF2F7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rgb="FFEDF2F7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rgb="FFEDF2F7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0D1B2A"/>
      </left>
      <right/>
      <top style="medium">
        <color rgb="FF0D1B2A"/>
      </top>
      <bottom style="medium">
        <color rgb="FF0D1B2A"/>
      </bottom>
      <diagonal/>
    </border>
    <border>
      <left style="medium">
        <color rgb="FF0D1B2A"/>
      </left>
      <right style="medium">
        <color rgb="FF0D1B2A"/>
      </right>
      <top style="medium">
        <color rgb="FF0D1B2A"/>
      </top>
      <bottom style="medium">
        <color rgb="FF0D1B2A"/>
      </bottom>
      <diagonal/>
    </border>
  </borders>
  <cellStyleXfs count="2">
    <xf numFmtId="0" fontId="0" fillId="0" borderId="0"/>
    <xf numFmtId="44" fontId="1" fillId="0" borderId="0" applyBorder="0" applyAlignment="0" applyProtection="0"/>
  </cellStyleXfs>
  <cellXfs count="166">
    <xf numFmtId="0" fontId="0" fillId="0" borderId="0" xfId="0"/>
    <xf numFmtId="0" fontId="9" fillId="4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left" wrapText="1"/>
    </xf>
    <xf numFmtId="9" fontId="10" fillId="9" borderId="1" xfId="0" applyNumberFormat="1" applyFont="1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164" fontId="10" fillId="9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wrapText="1"/>
    </xf>
    <xf numFmtId="9" fontId="10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0" fillId="9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9" fillId="10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165" fontId="10" fillId="0" borderId="1" xfId="0" applyNumberFormat="1" applyFont="1" applyBorder="1" applyAlignment="1">
      <alignment horizontal="center"/>
    </xf>
    <xf numFmtId="0" fontId="10" fillId="9" borderId="1" xfId="0" applyFont="1" applyFill="1" applyBorder="1" applyAlignment="1">
      <alignment horizontal="left"/>
    </xf>
    <xf numFmtId="165" fontId="10" fillId="9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left"/>
    </xf>
    <xf numFmtId="0" fontId="13" fillId="9" borderId="1" xfId="0" applyFont="1" applyFill="1" applyBorder="1" applyAlignment="1">
      <alignment horizontal="center"/>
    </xf>
    <xf numFmtId="164" fontId="13" fillId="9" borderId="1" xfId="0" applyNumberFormat="1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/>
    </xf>
    <xf numFmtId="166" fontId="10" fillId="12" borderId="1" xfId="0" applyNumberFormat="1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/>
    </xf>
    <xf numFmtId="167" fontId="10" fillId="12" borderId="1" xfId="0" applyNumberFormat="1" applyFont="1" applyFill="1" applyBorder="1" applyAlignment="1">
      <alignment horizontal="center" vertical="center"/>
    </xf>
    <xf numFmtId="3" fontId="10" fillId="12" borderId="1" xfId="0" applyNumberFormat="1" applyFont="1" applyFill="1" applyBorder="1" applyAlignment="1">
      <alignment horizontal="center" vertical="center"/>
    </xf>
    <xf numFmtId="165" fontId="10" fillId="12" borderId="1" xfId="0" applyNumberFormat="1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67" fontId="10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/>
    </xf>
    <xf numFmtId="167" fontId="13" fillId="0" borderId="1" xfId="0" applyNumberFormat="1" applyFont="1" applyBorder="1" applyAlignment="1">
      <alignment horizontal="center"/>
    </xf>
    <xf numFmtId="165" fontId="13" fillId="9" borderId="1" xfId="0" applyNumberFormat="1" applyFont="1" applyFill="1" applyBorder="1" applyAlignment="1">
      <alignment horizontal="center"/>
    </xf>
    <xf numFmtId="167" fontId="13" fillId="9" borderId="1" xfId="0" applyNumberFormat="1" applyFont="1" applyFill="1" applyBorder="1" applyAlignment="1">
      <alignment horizontal="center"/>
    </xf>
    <xf numFmtId="0" fontId="22" fillId="11" borderId="3" xfId="0" applyFont="1" applyFill="1" applyBorder="1"/>
    <xf numFmtId="165" fontId="22" fillId="11" borderId="3" xfId="0" applyNumberFormat="1" applyFont="1" applyFill="1" applyBorder="1"/>
    <xf numFmtId="0" fontId="13" fillId="9" borderId="1" xfId="0" applyFont="1" applyFill="1" applyBorder="1" applyAlignment="1">
      <alignment horizontal="left" wrapText="1"/>
    </xf>
    <xf numFmtId="0" fontId="13" fillId="1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left" wrapText="1"/>
    </xf>
    <xf numFmtId="0" fontId="22" fillId="0" borderId="1" xfId="0" applyFont="1" applyBorder="1" applyAlignment="1">
      <alignment horizontal="left"/>
    </xf>
    <xf numFmtId="3" fontId="23" fillId="0" borderId="1" xfId="0" applyNumberFormat="1" applyFont="1" applyBorder="1" applyAlignment="1">
      <alignment horizontal="right"/>
    </xf>
    <xf numFmtId="0" fontId="24" fillId="0" borderId="1" xfId="0" applyFont="1" applyBorder="1"/>
    <xf numFmtId="0" fontId="25" fillId="0" borderId="1" xfId="0" applyFont="1" applyBorder="1"/>
    <xf numFmtId="0" fontId="22" fillId="9" borderId="1" xfId="0" applyFont="1" applyFill="1" applyBorder="1" applyAlignment="1">
      <alignment horizontal="left"/>
    </xf>
    <xf numFmtId="3" fontId="23" fillId="9" borderId="1" xfId="0" applyNumberFormat="1" applyFont="1" applyFill="1" applyBorder="1" applyAlignment="1">
      <alignment horizontal="right"/>
    </xf>
    <xf numFmtId="0" fontId="24" fillId="9" borderId="1" xfId="0" applyFont="1" applyFill="1" applyBorder="1"/>
    <xf numFmtId="0" fontId="25" fillId="9" borderId="1" xfId="0" applyFont="1" applyFill="1" applyBorder="1"/>
    <xf numFmtId="165" fontId="23" fillId="0" borderId="1" xfId="0" applyNumberFormat="1" applyFont="1" applyBorder="1" applyAlignment="1">
      <alignment horizontal="right"/>
    </xf>
    <xf numFmtId="164" fontId="23" fillId="9" borderId="1" xfId="0" applyNumberFormat="1" applyFont="1" applyFill="1" applyBorder="1" applyAlignment="1">
      <alignment horizontal="right"/>
    </xf>
    <xf numFmtId="164" fontId="23" fillId="0" borderId="1" xfId="0" applyNumberFormat="1" applyFont="1" applyBorder="1" applyAlignment="1">
      <alignment horizontal="right"/>
    </xf>
    <xf numFmtId="165" fontId="23" fillId="9" borderId="1" xfId="0" applyNumberFormat="1" applyFont="1" applyFill="1" applyBorder="1" applyAlignment="1">
      <alignment horizontal="right"/>
    </xf>
    <xf numFmtId="0" fontId="8" fillId="5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right"/>
    </xf>
    <xf numFmtId="0" fontId="25" fillId="0" borderId="1" xfId="0" applyFont="1" applyBorder="1" applyAlignment="1">
      <alignment horizontal="left"/>
    </xf>
    <xf numFmtId="0" fontId="13" fillId="14" borderId="1" xfId="0" applyFont="1" applyFill="1" applyBorder="1" applyAlignment="1">
      <alignment horizontal="left"/>
    </xf>
    <xf numFmtId="0" fontId="22" fillId="14" borderId="1" xfId="0" applyFont="1" applyFill="1" applyBorder="1" applyAlignment="1">
      <alignment horizontal="right"/>
    </xf>
    <xf numFmtId="0" fontId="13" fillId="14" borderId="1" xfId="0" applyFont="1" applyFill="1" applyBorder="1" applyAlignment="1">
      <alignment horizontal="center"/>
    </xf>
    <xf numFmtId="0" fontId="25" fillId="14" borderId="1" xfId="0" applyFont="1" applyFill="1" applyBorder="1" applyAlignment="1">
      <alignment horizontal="left"/>
    </xf>
    <xf numFmtId="3" fontId="22" fillId="0" borderId="1" xfId="0" applyNumberFormat="1" applyFont="1" applyBorder="1" applyAlignment="1">
      <alignment horizontal="right"/>
    </xf>
    <xf numFmtId="165" fontId="22" fillId="14" borderId="1" xfId="0" applyNumberFormat="1" applyFont="1" applyFill="1" applyBorder="1" applyAlignment="1">
      <alignment horizontal="right"/>
    </xf>
    <xf numFmtId="165" fontId="22" fillId="0" borderId="1" xfId="0" applyNumberFormat="1" applyFont="1" applyBorder="1" applyAlignment="1">
      <alignment horizontal="right"/>
    </xf>
    <xf numFmtId="164" fontId="22" fillId="14" borderId="1" xfId="0" applyNumberFormat="1" applyFont="1" applyFill="1" applyBorder="1" applyAlignment="1">
      <alignment horizontal="right"/>
    </xf>
    <xf numFmtId="164" fontId="22" fillId="0" borderId="1" xfId="0" applyNumberFormat="1" applyFont="1" applyBorder="1" applyAlignment="1">
      <alignment horizontal="right"/>
    </xf>
    <xf numFmtId="3" fontId="22" fillId="14" borderId="1" xfId="0" applyNumberFormat="1" applyFont="1" applyFill="1" applyBorder="1" applyAlignment="1">
      <alignment horizontal="right"/>
    </xf>
    <xf numFmtId="0" fontId="8" fillId="8" borderId="1" xfId="0" applyFont="1" applyFill="1" applyBorder="1" applyAlignment="1">
      <alignment horizontal="center" vertical="center" wrapText="1"/>
    </xf>
    <xf numFmtId="168" fontId="22" fillId="0" borderId="1" xfId="0" applyNumberFormat="1" applyFont="1" applyBorder="1" applyAlignment="1">
      <alignment horizontal="right"/>
    </xf>
    <xf numFmtId="0" fontId="13" fillId="13" borderId="1" xfId="0" applyFont="1" applyFill="1" applyBorder="1" applyAlignment="1">
      <alignment horizontal="left"/>
    </xf>
    <xf numFmtId="168" fontId="22" fillId="13" borderId="1" xfId="0" applyNumberFormat="1" applyFont="1" applyFill="1" applyBorder="1" applyAlignment="1">
      <alignment horizontal="right"/>
    </xf>
    <xf numFmtId="0" fontId="25" fillId="13" borderId="1" xfId="0" applyFont="1" applyFill="1" applyBorder="1" applyAlignment="1">
      <alignment horizontal="left"/>
    </xf>
    <xf numFmtId="164" fontId="22" fillId="13" borderId="1" xfId="0" applyNumberFormat="1" applyFont="1" applyFill="1" applyBorder="1" applyAlignment="1">
      <alignment horizontal="right"/>
    </xf>
    <xf numFmtId="165" fontId="22" fillId="13" borderId="1" xfId="0" applyNumberFormat="1" applyFont="1" applyFill="1" applyBorder="1" applyAlignment="1">
      <alignment horizontal="right"/>
    </xf>
    <xf numFmtId="0" fontId="8" fillId="3" borderId="1" xfId="0" applyFont="1" applyFill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/>
    </xf>
    <xf numFmtId="0" fontId="22" fillId="15" borderId="1" xfId="0" applyFont="1" applyFill="1" applyBorder="1" applyAlignment="1">
      <alignment horizontal="left"/>
    </xf>
    <xf numFmtId="9" fontId="22" fillId="15" borderId="1" xfId="0" applyNumberFormat="1" applyFont="1" applyFill="1" applyBorder="1" applyAlignment="1">
      <alignment horizontal="center"/>
    </xf>
    <xf numFmtId="0" fontId="22" fillId="15" borderId="1" xfId="0" applyFont="1" applyFill="1" applyBorder="1" applyAlignment="1">
      <alignment horizontal="center"/>
    </xf>
    <xf numFmtId="165" fontId="22" fillId="15" borderId="1" xfId="0" applyNumberFormat="1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69" fontId="13" fillId="9" borderId="1" xfId="0" applyNumberFormat="1" applyFont="1" applyFill="1" applyBorder="1" applyAlignment="1">
      <alignment horizontal="center"/>
    </xf>
    <xf numFmtId="169" fontId="13" fillId="0" borderId="1" xfId="0" applyNumberFormat="1" applyFont="1" applyBorder="1" applyAlignment="1">
      <alignment horizontal="center"/>
    </xf>
    <xf numFmtId="10" fontId="13" fillId="9" borderId="1" xfId="0" applyNumberFormat="1" applyFont="1" applyFill="1" applyBorder="1" applyAlignment="1">
      <alignment horizontal="center"/>
    </xf>
    <xf numFmtId="10" fontId="13" fillId="0" borderId="1" xfId="0" applyNumberFormat="1" applyFont="1" applyBorder="1" applyAlignment="1">
      <alignment horizontal="center"/>
    </xf>
    <xf numFmtId="10" fontId="10" fillId="9" borderId="1" xfId="0" applyNumberFormat="1" applyFont="1" applyFill="1" applyBorder="1" applyAlignment="1">
      <alignment horizontal="center"/>
    </xf>
    <xf numFmtId="10" fontId="10" fillId="0" borderId="1" xfId="0" applyNumberFormat="1" applyFont="1" applyBorder="1" applyAlignment="1">
      <alignment horizontal="center"/>
    </xf>
    <xf numFmtId="0" fontId="28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8" fillId="0" borderId="0" xfId="0" applyFont="1"/>
    <xf numFmtId="169" fontId="30" fillId="16" borderId="3" xfId="1" applyNumberFormat="1" applyFont="1" applyFill="1" applyBorder="1"/>
    <xf numFmtId="0" fontId="0" fillId="17" borderId="0" xfId="0" applyFill="1"/>
    <xf numFmtId="0" fontId="32" fillId="19" borderId="0" xfId="0" applyFont="1" applyFill="1" applyAlignment="1">
      <alignment vertical="center" wrapText="1"/>
    </xf>
    <xf numFmtId="0" fontId="22" fillId="11" borderId="3" xfId="0" applyFont="1" applyFill="1" applyBorder="1" applyAlignment="1">
      <alignment horizontal="center"/>
    </xf>
    <xf numFmtId="165" fontId="22" fillId="11" borderId="3" xfId="0" applyNumberFormat="1" applyFont="1" applyFill="1" applyBorder="1" applyAlignment="1">
      <alignment horizontal="center"/>
    </xf>
    <xf numFmtId="164" fontId="33" fillId="20" borderId="1" xfId="0" applyNumberFormat="1" applyFont="1" applyFill="1" applyBorder="1" applyAlignment="1">
      <alignment horizontal="center"/>
    </xf>
    <xf numFmtId="164" fontId="33" fillId="21" borderId="1" xfId="0" applyNumberFormat="1" applyFont="1" applyFill="1" applyBorder="1" applyAlignment="1">
      <alignment horizontal="center"/>
    </xf>
    <xf numFmtId="164" fontId="34" fillId="20" borderId="1" xfId="0" applyNumberFormat="1" applyFont="1" applyFill="1" applyBorder="1" applyAlignment="1">
      <alignment horizontal="center"/>
    </xf>
    <xf numFmtId="164" fontId="34" fillId="21" borderId="1" xfId="0" applyNumberFormat="1" applyFont="1" applyFill="1" applyBorder="1" applyAlignment="1">
      <alignment horizontal="center"/>
    </xf>
    <xf numFmtId="164" fontId="35" fillId="21" borderId="1" xfId="0" applyNumberFormat="1" applyFont="1" applyFill="1" applyBorder="1" applyAlignment="1">
      <alignment horizontal="center"/>
    </xf>
    <xf numFmtId="0" fontId="13" fillId="22" borderId="1" xfId="0" applyFont="1" applyFill="1" applyBorder="1" applyAlignment="1">
      <alignment horizontal="center"/>
    </xf>
    <xf numFmtId="0" fontId="13" fillId="23" borderId="1" xfId="0" applyFont="1" applyFill="1" applyBorder="1" applyAlignment="1">
      <alignment horizontal="center"/>
    </xf>
    <xf numFmtId="0" fontId="13" fillId="24" borderId="1" xfId="0" applyFont="1" applyFill="1" applyBorder="1" applyAlignment="1">
      <alignment horizontal="center"/>
    </xf>
    <xf numFmtId="0" fontId="27" fillId="25" borderId="1" xfId="0" applyFont="1" applyFill="1" applyBorder="1" applyAlignment="1">
      <alignment horizontal="center"/>
    </xf>
    <xf numFmtId="0" fontId="13" fillId="18" borderId="1" xfId="0" applyFont="1" applyFill="1" applyBorder="1" applyAlignment="1">
      <alignment horizontal="center"/>
    </xf>
    <xf numFmtId="0" fontId="8" fillId="2" borderId="0" xfId="0" applyFont="1" applyFill="1" applyAlignment="1">
      <alignment horizontal="left" vertical="center"/>
    </xf>
    <xf numFmtId="0" fontId="15" fillId="11" borderId="2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8" borderId="0" xfId="0" applyFill="1"/>
    <xf numFmtId="0" fontId="8" fillId="3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0" fillId="4" borderId="0" xfId="0" applyFill="1"/>
    <xf numFmtId="0" fontId="0" fillId="5" borderId="0" xfId="0" applyFill="1"/>
    <xf numFmtId="0" fontId="0" fillId="3" borderId="0" xfId="0" applyFill="1"/>
    <xf numFmtId="0" fontId="0" fillId="6" borderId="0" xfId="0" applyFill="1"/>
    <xf numFmtId="0" fontId="0" fillId="7" borderId="0" xfId="0" applyFill="1"/>
    <xf numFmtId="0" fontId="7" fillId="8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32" fillId="18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9" borderId="0" xfId="0" applyFont="1" applyFill="1" applyAlignment="1">
      <alignment horizontal="left" vertical="center"/>
    </xf>
    <xf numFmtId="0" fontId="21" fillId="3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left" vertical="center"/>
    </xf>
    <xf numFmtId="0" fontId="21" fillId="5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8F77"/>
      <rgbColor rgb="FFBBBBBB"/>
      <rgbColor rgb="FF878787"/>
      <rgbColor rgb="FFAAAAAA"/>
      <rgbColor rgb="FF555555"/>
      <rgbColor rgb="FFFFF3CD"/>
      <rgbColor rgb="FFDCF1E8"/>
      <rgbColor rgb="FF660066"/>
      <rgbColor rgb="FFFF8080"/>
      <rgbColor rgb="FF2E6DA4"/>
      <rgbColor rgb="FFCCDDEE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EDF2F7"/>
      <rgbColor rgb="FFD5F5E3"/>
      <rgbColor rgb="FFFDECEA"/>
      <rgbColor rgb="FFDDDDDD"/>
      <rgbColor rgb="FFF2F2F2"/>
      <rgbColor rgb="FFF9F9F9"/>
      <rgbColor rgb="FFD9D9D9"/>
      <rgbColor rgb="FF3366FF"/>
      <rgbColor rgb="FF33CCCC"/>
      <rgbColor rgb="FF99CC00"/>
      <rgbColor rgb="FFFFD700"/>
      <rgbColor rgb="FFFF9900"/>
      <rgbColor rgb="FFE87722"/>
      <rgbColor rgb="FF777777"/>
      <rgbColor rgb="FF888888"/>
      <rgbColor rgb="FF1B3A5C"/>
      <rgbColor rgb="FF1E8449"/>
      <rgbColor rgb="FF0D1B2A"/>
      <rgbColor rgb="FF111111"/>
      <rgbColor rgb="FFC0392B"/>
      <rgbColor rgb="FF993366"/>
      <rgbColor rgb="FF1A527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81209"/>
      <color rgb="FFFFE5E6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Pareto – Failure Mode Downtime Hours</a:t>
            </a:r>
          </a:p>
        </c:rich>
      </c:tx>
      <c:layout>
        <c:manualLayout>
          <c:xMode val="edge"/>
          <c:yMode val="edge"/>
          <c:x val="0.16063099058086033"/>
          <c:y val="1.3412226088944709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PARETO_ANALYSIS!$D$5</c:f>
              <c:strCache>
                <c:ptCount val="1"/>
                <c:pt idx="0">
                  <c:v>Downtime Hours</c:v>
                </c:pt>
              </c:strCache>
            </c:strRef>
          </c:tx>
          <c:spPr>
            <a:solidFill>
              <a:srgbClr val="2E6DA4"/>
            </a:solidFill>
            <a:ln w="9360">
              <a:solidFill>
                <a:srgbClr val="2E6DA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PARETO_ANALYSIS!$B$6:$B$21</c:f>
              <c:strCache>
                <c:ptCount val="16"/>
                <c:pt idx="0">
                  <c:v>Liner / Wear Plate Wear</c:v>
                </c:pt>
                <c:pt idx="1">
                  <c:v>Belt Rip / Splice Failure</c:v>
                </c:pt>
                <c:pt idx="2">
                  <c:v>Coupling Failure</c:v>
                </c:pt>
                <c:pt idx="3">
                  <c:v>Gearbox Failure</c:v>
                </c:pt>
                <c:pt idx="4">
                  <c:v>Electrical Fault / Trip</c:v>
                </c:pt>
                <c:pt idx="5">
                  <c:v>Seal Leak / Failure</c:v>
                </c:pt>
                <c:pt idx="6">
                  <c:v>Bearing Failure</c:v>
                </c:pt>
                <c:pt idx="7">
                  <c:v>Impeller Wear / Cavitation</c:v>
                </c:pt>
                <c:pt idx="8">
                  <c:v>Process Blockage / Choke</c:v>
                </c:pt>
                <c:pt idx="9">
                  <c:v>Motor Burnout</c:v>
                </c:pt>
                <c:pt idx="10">
                  <c:v>Screen Blinding / Panel Damage</c:v>
                </c:pt>
                <c:pt idx="11">
                  <c:v>Instrumentation Fault</c:v>
                </c:pt>
                <c:pt idx="12">
                  <c:v>Unplanned Power Outage</c:v>
                </c:pt>
                <c:pt idx="13">
                  <c:v>Hydraulic System Failure</c:v>
                </c:pt>
                <c:pt idx="14">
                  <c:v>Structural Crack / Weld Failure</c:v>
                </c:pt>
                <c:pt idx="15">
                  <c:v>Reagent Supply Interruption</c:v>
                </c:pt>
              </c:strCache>
            </c:strRef>
          </c:cat>
          <c:val>
            <c:numRef>
              <c:f>PARETO_ANALYSIS!$D$6:$D$21</c:f>
              <c:numCache>
                <c:formatCode>General</c:formatCode>
                <c:ptCount val="16"/>
                <c:pt idx="0">
                  <c:v>344.3</c:v>
                </c:pt>
                <c:pt idx="1">
                  <c:v>306.10000000000002</c:v>
                </c:pt>
                <c:pt idx="2">
                  <c:v>198.2</c:v>
                </c:pt>
                <c:pt idx="3">
                  <c:v>183.6</c:v>
                </c:pt>
                <c:pt idx="4">
                  <c:v>181.7</c:v>
                </c:pt>
                <c:pt idx="5">
                  <c:v>177.3</c:v>
                </c:pt>
                <c:pt idx="6">
                  <c:v>139.5</c:v>
                </c:pt>
                <c:pt idx="7">
                  <c:v>106.4</c:v>
                </c:pt>
                <c:pt idx="8">
                  <c:v>84.9</c:v>
                </c:pt>
                <c:pt idx="9">
                  <c:v>77.400000000000006</c:v>
                </c:pt>
                <c:pt idx="10">
                  <c:v>58.4</c:v>
                </c:pt>
                <c:pt idx="11">
                  <c:v>52.4</c:v>
                </c:pt>
                <c:pt idx="12">
                  <c:v>31.6</c:v>
                </c:pt>
                <c:pt idx="13">
                  <c:v>28</c:v>
                </c:pt>
                <c:pt idx="14">
                  <c:v>24.8</c:v>
                </c:pt>
                <c:pt idx="15">
                  <c:v>12.8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2-4877-91FF-EEE28AA2C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8708"/>
        <c:axId val="83880085"/>
      </c:barChart>
      <c:lineChart>
        <c:grouping val="standard"/>
        <c:varyColors val="0"/>
        <c:ser>
          <c:idx val="1"/>
          <c:order val="1"/>
          <c:tx>
            <c:strRef>
              <c:f>PARETO_ANALYSIS!$G$5</c:f>
              <c:strCache>
                <c:ptCount val="1"/>
                <c:pt idx="0">
                  <c:v>Cumulative %</c:v>
                </c:pt>
              </c:strCache>
            </c:strRef>
          </c:tx>
          <c:spPr>
            <a:ln w="2484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PARETO_ANALYSIS!$B$6:$B$21</c:f>
              <c:strCache>
                <c:ptCount val="16"/>
                <c:pt idx="0">
                  <c:v>Liner / Wear Plate Wear</c:v>
                </c:pt>
                <c:pt idx="1">
                  <c:v>Belt Rip / Splice Failure</c:v>
                </c:pt>
                <c:pt idx="2">
                  <c:v>Coupling Failure</c:v>
                </c:pt>
                <c:pt idx="3">
                  <c:v>Gearbox Failure</c:v>
                </c:pt>
                <c:pt idx="4">
                  <c:v>Electrical Fault / Trip</c:v>
                </c:pt>
                <c:pt idx="5">
                  <c:v>Seal Leak / Failure</c:v>
                </c:pt>
                <c:pt idx="6">
                  <c:v>Bearing Failure</c:v>
                </c:pt>
                <c:pt idx="7">
                  <c:v>Impeller Wear / Cavitation</c:v>
                </c:pt>
                <c:pt idx="8">
                  <c:v>Process Blockage / Choke</c:v>
                </c:pt>
                <c:pt idx="9">
                  <c:v>Motor Burnout</c:v>
                </c:pt>
                <c:pt idx="10">
                  <c:v>Screen Blinding / Panel Damage</c:v>
                </c:pt>
                <c:pt idx="11">
                  <c:v>Instrumentation Fault</c:v>
                </c:pt>
                <c:pt idx="12">
                  <c:v>Unplanned Power Outage</c:v>
                </c:pt>
                <c:pt idx="13">
                  <c:v>Hydraulic System Failure</c:v>
                </c:pt>
                <c:pt idx="14">
                  <c:v>Structural Crack / Weld Failure</c:v>
                </c:pt>
                <c:pt idx="15">
                  <c:v>Reagent Supply Interruption</c:v>
                </c:pt>
              </c:strCache>
            </c:strRef>
          </c:cat>
          <c:val>
            <c:numRef>
              <c:f>PARETO_ANALYSIS!$G$6:$G$21</c:f>
              <c:numCache>
                <c:formatCode>0.0%</c:formatCode>
                <c:ptCount val="16"/>
                <c:pt idx="0">
                  <c:v>0.17150000000000001</c:v>
                </c:pt>
                <c:pt idx="1">
                  <c:v>0.32400000000000001</c:v>
                </c:pt>
                <c:pt idx="2">
                  <c:v>0.42270000000000002</c:v>
                </c:pt>
                <c:pt idx="3">
                  <c:v>0.51419999999999999</c:v>
                </c:pt>
                <c:pt idx="4">
                  <c:v>0.60470000000000002</c:v>
                </c:pt>
                <c:pt idx="5">
                  <c:v>0.69299999999999995</c:v>
                </c:pt>
                <c:pt idx="6">
                  <c:v>0.76249999999999996</c:v>
                </c:pt>
                <c:pt idx="7">
                  <c:v>0.8155</c:v>
                </c:pt>
                <c:pt idx="8">
                  <c:v>0.85780000000000001</c:v>
                </c:pt>
                <c:pt idx="9">
                  <c:v>0.89639999999999997</c:v>
                </c:pt>
                <c:pt idx="10">
                  <c:v>0.92549999999999999</c:v>
                </c:pt>
                <c:pt idx="11">
                  <c:v>0.9516</c:v>
                </c:pt>
                <c:pt idx="12">
                  <c:v>0.96730000000000005</c:v>
                </c:pt>
                <c:pt idx="13">
                  <c:v>0.98129999999999995</c:v>
                </c:pt>
                <c:pt idx="14">
                  <c:v>0.99360000000000004</c:v>
                </c:pt>
                <c:pt idx="15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F2-4877-91FF-EEE28AA2C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060959"/>
        <c:axId val="45234305"/>
      </c:lineChart>
      <c:catAx>
        <c:axId val="3568708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Failure Mode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crossAx val="83880085"/>
        <c:crosses val="autoZero"/>
        <c:auto val="1"/>
        <c:lblAlgn val="ctr"/>
        <c:lblOffset val="100"/>
        <c:noMultiLvlLbl val="0"/>
      </c:catAx>
      <c:valAx>
        <c:axId val="838800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68708"/>
        <c:crosses val="autoZero"/>
        <c:crossBetween val="between"/>
      </c:valAx>
      <c:catAx>
        <c:axId val="10609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234305"/>
        <c:crosses val="autoZero"/>
        <c:auto val="1"/>
        <c:lblAlgn val="ctr"/>
        <c:lblOffset val="100"/>
        <c:noMultiLvlLbl val="0"/>
      </c:catAx>
      <c:valAx>
        <c:axId val="45234305"/>
        <c:scaling>
          <c:orientation val="minMax"/>
        </c:scaling>
        <c:delete val="0"/>
        <c:axPos val="r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60959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Monthly Downtime Hours vs Target (2026)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MONTHLY_TREND!$C$3</c:f>
              <c:strCache>
                <c:ptCount val="1"/>
                <c:pt idx="0">
                  <c:v>Total DT Hours</c:v>
                </c:pt>
              </c:strCache>
            </c:strRef>
          </c:tx>
          <c:spPr>
            <a:ln w="47520">
              <a:solidFill>
                <a:srgbClr val="2E6DA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MONTHLY_TREND!$C$4:$C$15</c:f>
              <c:numCache>
                <c:formatCode>General</c:formatCode>
                <c:ptCount val="12"/>
                <c:pt idx="0">
                  <c:v>165</c:v>
                </c:pt>
                <c:pt idx="1">
                  <c:v>305.3</c:v>
                </c:pt>
                <c:pt idx="2">
                  <c:v>74</c:v>
                </c:pt>
                <c:pt idx="3">
                  <c:v>63.6</c:v>
                </c:pt>
                <c:pt idx="4">
                  <c:v>206.8</c:v>
                </c:pt>
                <c:pt idx="5">
                  <c:v>106.7</c:v>
                </c:pt>
                <c:pt idx="6">
                  <c:v>81.900000000000006</c:v>
                </c:pt>
                <c:pt idx="7">
                  <c:v>200.3</c:v>
                </c:pt>
                <c:pt idx="8">
                  <c:v>121.4</c:v>
                </c:pt>
                <c:pt idx="9">
                  <c:v>375.1</c:v>
                </c:pt>
                <c:pt idx="10">
                  <c:v>115.5</c:v>
                </c:pt>
                <c:pt idx="11">
                  <c:v>191.8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0F-4A9B-B8E9-702469F4F035}"/>
            </c:ext>
          </c:extLst>
        </c:ser>
        <c:ser>
          <c:idx val="1"/>
          <c:order val="1"/>
          <c:tx>
            <c:strRef>
              <c:f>MONTHLY_TREND!$D$3</c:f>
              <c:strCache>
                <c:ptCount val="1"/>
                <c:pt idx="0">
                  <c:v>Unplanned Hrs</c:v>
                </c:pt>
              </c:strCache>
            </c:strRef>
          </c:tx>
          <c:spPr>
            <a:ln w="4752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MONTHLY_TREND!$D$4:$D$15</c:f>
              <c:numCache>
                <c:formatCode>General</c:formatCode>
                <c:ptCount val="12"/>
                <c:pt idx="0">
                  <c:v>133.80000000000001</c:v>
                </c:pt>
                <c:pt idx="1">
                  <c:v>157.30000000000001</c:v>
                </c:pt>
                <c:pt idx="2">
                  <c:v>66.5</c:v>
                </c:pt>
                <c:pt idx="3">
                  <c:v>51.9</c:v>
                </c:pt>
                <c:pt idx="4">
                  <c:v>180</c:v>
                </c:pt>
                <c:pt idx="5">
                  <c:v>72.900000000000006</c:v>
                </c:pt>
                <c:pt idx="6">
                  <c:v>51.7</c:v>
                </c:pt>
                <c:pt idx="7">
                  <c:v>183.4</c:v>
                </c:pt>
                <c:pt idx="8">
                  <c:v>62.8</c:v>
                </c:pt>
                <c:pt idx="9">
                  <c:v>306.3</c:v>
                </c:pt>
                <c:pt idx="10">
                  <c:v>106.4</c:v>
                </c:pt>
                <c:pt idx="11">
                  <c:v>100.5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0F-4A9B-B8E9-702469F4F035}"/>
            </c:ext>
          </c:extLst>
        </c:ser>
        <c:ser>
          <c:idx val="2"/>
          <c:order val="2"/>
          <c:tx>
            <c:strRef>
              <c:f>MONTHLY_TREND!$J$3</c:f>
              <c:strCache>
                <c:ptCount val="1"/>
                <c:pt idx="0">
                  <c:v>Target Unpl (hr/mo)</c:v>
                </c:pt>
              </c:strCache>
            </c:strRef>
          </c:tx>
          <c:spPr>
            <a:ln w="47520">
              <a:solidFill>
                <a:srgbClr val="1E844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MONTHLY_TREND!$J$4:$J$15</c:f>
              <c:numCache>
                <c:formatCode>General</c:formatCode>
                <c:ptCount val="12"/>
                <c:pt idx="0">
                  <c:v>71.2</c:v>
                </c:pt>
                <c:pt idx="1">
                  <c:v>71.2</c:v>
                </c:pt>
                <c:pt idx="2">
                  <c:v>71.2</c:v>
                </c:pt>
                <c:pt idx="3">
                  <c:v>71.2</c:v>
                </c:pt>
                <c:pt idx="4">
                  <c:v>71.2</c:v>
                </c:pt>
                <c:pt idx="5">
                  <c:v>71.2</c:v>
                </c:pt>
                <c:pt idx="6">
                  <c:v>71.2</c:v>
                </c:pt>
                <c:pt idx="7">
                  <c:v>71.2</c:v>
                </c:pt>
                <c:pt idx="8">
                  <c:v>71.2</c:v>
                </c:pt>
                <c:pt idx="9">
                  <c:v>71.2</c:v>
                </c:pt>
                <c:pt idx="10">
                  <c:v>71.2</c:v>
                </c:pt>
                <c:pt idx="11">
                  <c:v>71.2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10F-4A9B-B8E9-702469F4F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8832664"/>
        <c:axId val="2476044"/>
      </c:lineChart>
      <c:catAx>
        <c:axId val="988326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76044"/>
        <c:crosses val="autoZero"/>
        <c:auto val="1"/>
        <c:lblAlgn val="ctr"/>
        <c:lblOffset val="100"/>
        <c:noMultiLvlLbl val="0"/>
      </c:catAx>
      <c:valAx>
        <c:axId val="24760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8326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Total Cost (AUD) by Equipment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E8772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DASHBOARD!$Y$120:$Y$127</c:f>
              <c:strCache>
                <c:ptCount val="8"/>
                <c:pt idx="0">
                  <c:v>Grinding Circuit</c:v>
                </c:pt>
                <c:pt idx="1">
                  <c:v>Crushing Circuit</c:v>
                </c:pt>
                <c:pt idx="2">
                  <c:v>Materials Handling</c:v>
                </c:pt>
                <c:pt idx="3">
                  <c:v>Flotation Circuit</c:v>
                </c:pt>
                <c:pt idx="4">
                  <c:v>Pumping &amp; Pipelines</c:v>
                </c:pt>
                <c:pt idx="5">
                  <c:v>Electrical &amp; Instrumentation</c:v>
                </c:pt>
                <c:pt idx="6">
                  <c:v>Process Auxiliaries</c:v>
                </c:pt>
                <c:pt idx="7">
                  <c:v>Tailings &amp; Water</c:v>
                </c:pt>
              </c:strCache>
            </c:strRef>
          </c:cat>
          <c:val>
            <c:numRef>
              <c:f>DASHBOARD!$Z$120:$Z$127</c:f>
              <c:numCache>
                <c:formatCode>General</c:formatCode>
                <c:ptCount val="8"/>
                <c:pt idx="0">
                  <c:v>6632176</c:v>
                </c:pt>
                <c:pt idx="1">
                  <c:v>3530599</c:v>
                </c:pt>
                <c:pt idx="2">
                  <c:v>3151519</c:v>
                </c:pt>
                <c:pt idx="3">
                  <c:v>1994184</c:v>
                </c:pt>
                <c:pt idx="4">
                  <c:v>1777810</c:v>
                </c:pt>
                <c:pt idx="5">
                  <c:v>1295187</c:v>
                </c:pt>
                <c:pt idx="6">
                  <c:v>725748</c:v>
                </c:pt>
                <c:pt idx="7">
                  <c:v>493316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0-4898-A2C7-0D1D4327E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38235"/>
        <c:axId val="16702791"/>
      </c:barChart>
      <c:catAx>
        <c:axId val="703823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702791"/>
        <c:crosses val="autoZero"/>
        <c:auto val="1"/>
        <c:lblAlgn val="ctr"/>
        <c:lblOffset val="100"/>
        <c:noMultiLvlLbl val="0"/>
      </c:catAx>
      <c:valAx>
        <c:axId val="1670279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382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Events &amp; Hours by Shift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48F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DASHBOARD!$Y$135:$Y$137</c:f>
              <c:strCache>
                <c:ptCount val="3"/>
                <c:pt idx="0">
                  <c:v>Afternoon Shift</c:v>
                </c:pt>
                <c:pt idx="1">
                  <c:v>Day Shift</c:v>
                </c:pt>
                <c:pt idx="2">
                  <c:v>Night Shift</c:v>
                </c:pt>
              </c:strCache>
            </c:strRef>
          </c:cat>
          <c:val>
            <c:numRef>
              <c:f>DASHBOARD!$Z$135:$Z$137</c:f>
              <c:numCache>
                <c:formatCode>General</c:formatCode>
                <c:ptCount val="3"/>
                <c:pt idx="0">
                  <c:v>77</c:v>
                </c:pt>
                <c:pt idx="1">
                  <c:v>73</c:v>
                </c:pt>
                <c:pt idx="2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7-4280-AECA-7443F4F852D9}"/>
            </c:ext>
          </c:extLst>
        </c:ser>
        <c:ser>
          <c:idx val="1"/>
          <c:order val="1"/>
          <c:spPr>
            <a:solidFill>
              <a:srgbClr val="1B3A5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DASHBOARD!$Y$135:$Y$137</c:f>
              <c:strCache>
                <c:ptCount val="3"/>
                <c:pt idx="0">
                  <c:v>Afternoon Shift</c:v>
                </c:pt>
                <c:pt idx="1">
                  <c:v>Day Shift</c:v>
                </c:pt>
                <c:pt idx="2">
                  <c:v>Night Shift</c:v>
                </c:pt>
              </c:strCache>
            </c:strRef>
          </c:cat>
          <c:val>
            <c:numRef>
              <c:f>DASHBOARD!$AA$135:$AA$137</c:f>
              <c:numCache>
                <c:formatCode>General</c:formatCode>
                <c:ptCount val="3"/>
                <c:pt idx="0">
                  <c:v>661</c:v>
                </c:pt>
                <c:pt idx="1">
                  <c:v>471.5</c:v>
                </c:pt>
                <c:pt idx="2">
                  <c:v>874.9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87-4280-AECA-7443F4F85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435285"/>
        <c:axId val="1119339"/>
      </c:barChart>
      <c:catAx>
        <c:axId val="844352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19339"/>
        <c:crosses val="autoZero"/>
        <c:auto val="1"/>
        <c:lblAlgn val="ctr"/>
        <c:lblOffset val="100"/>
        <c:noMultiLvlLbl val="0"/>
      </c:catAx>
      <c:valAx>
        <c:axId val="11193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4352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AU" sz="1800" b="1" strike="noStrike" spc="-1">
                <a:solidFill>
                  <a:srgbClr val="000000"/>
                </a:solidFill>
                <a:latin typeface="Calibri"/>
              </a:rPr>
              <a:t>Pareto – Failure Mode Downtime Hours</a:t>
            </a:r>
          </a:p>
        </c:rich>
      </c:tx>
      <c:layout>
        <c:manualLayout>
          <c:xMode val="edge"/>
          <c:yMode val="edge"/>
          <c:x val="0.16063099058086033"/>
          <c:y val="1.3412226088944709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PARETO_ANALYSIS!$D$5</c:f>
              <c:strCache>
                <c:ptCount val="1"/>
                <c:pt idx="0">
                  <c:v>Downtime Hours</c:v>
                </c:pt>
              </c:strCache>
            </c:strRef>
          </c:tx>
          <c:spPr>
            <a:solidFill>
              <a:srgbClr val="2E6DA4"/>
            </a:solidFill>
            <a:ln w="9360">
              <a:solidFill>
                <a:srgbClr val="2E6DA4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PARETO_ANALYSIS!$B$6:$B$21</c:f>
              <c:strCache>
                <c:ptCount val="16"/>
                <c:pt idx="0">
                  <c:v>Liner / Wear Plate Wear</c:v>
                </c:pt>
                <c:pt idx="1">
                  <c:v>Belt Rip / Splice Failure</c:v>
                </c:pt>
                <c:pt idx="2">
                  <c:v>Coupling Failure</c:v>
                </c:pt>
                <c:pt idx="3">
                  <c:v>Gearbox Failure</c:v>
                </c:pt>
                <c:pt idx="4">
                  <c:v>Electrical Fault / Trip</c:v>
                </c:pt>
                <c:pt idx="5">
                  <c:v>Seal Leak / Failure</c:v>
                </c:pt>
                <c:pt idx="6">
                  <c:v>Bearing Failure</c:v>
                </c:pt>
                <c:pt idx="7">
                  <c:v>Impeller Wear / Cavitation</c:v>
                </c:pt>
                <c:pt idx="8">
                  <c:v>Process Blockage / Choke</c:v>
                </c:pt>
                <c:pt idx="9">
                  <c:v>Motor Burnout</c:v>
                </c:pt>
                <c:pt idx="10">
                  <c:v>Screen Blinding / Panel Damage</c:v>
                </c:pt>
                <c:pt idx="11">
                  <c:v>Instrumentation Fault</c:v>
                </c:pt>
                <c:pt idx="12">
                  <c:v>Unplanned Power Outage</c:v>
                </c:pt>
                <c:pt idx="13">
                  <c:v>Hydraulic System Failure</c:v>
                </c:pt>
                <c:pt idx="14">
                  <c:v>Structural Crack / Weld Failure</c:v>
                </c:pt>
                <c:pt idx="15">
                  <c:v>Reagent Supply Interruption</c:v>
                </c:pt>
              </c:strCache>
            </c:strRef>
          </c:cat>
          <c:val>
            <c:numRef>
              <c:f>PARETO_ANALYSIS!$D$6:$D$21</c:f>
              <c:numCache>
                <c:formatCode>General</c:formatCode>
                <c:ptCount val="16"/>
                <c:pt idx="0">
                  <c:v>344.3</c:v>
                </c:pt>
                <c:pt idx="1">
                  <c:v>306.10000000000002</c:v>
                </c:pt>
                <c:pt idx="2">
                  <c:v>198.2</c:v>
                </c:pt>
                <c:pt idx="3">
                  <c:v>183.6</c:v>
                </c:pt>
                <c:pt idx="4">
                  <c:v>181.7</c:v>
                </c:pt>
                <c:pt idx="5">
                  <c:v>177.3</c:v>
                </c:pt>
                <c:pt idx="6">
                  <c:v>139.5</c:v>
                </c:pt>
                <c:pt idx="7">
                  <c:v>106.4</c:v>
                </c:pt>
                <c:pt idx="8">
                  <c:v>84.9</c:v>
                </c:pt>
                <c:pt idx="9">
                  <c:v>77.400000000000006</c:v>
                </c:pt>
                <c:pt idx="10">
                  <c:v>58.4</c:v>
                </c:pt>
                <c:pt idx="11">
                  <c:v>52.4</c:v>
                </c:pt>
                <c:pt idx="12">
                  <c:v>31.6</c:v>
                </c:pt>
                <c:pt idx="13">
                  <c:v>28</c:v>
                </c:pt>
                <c:pt idx="14">
                  <c:v>24.8</c:v>
                </c:pt>
                <c:pt idx="15">
                  <c:v>12.8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5-4F0C-975F-AA08D5F32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8708"/>
        <c:axId val="83880085"/>
      </c:barChart>
      <c:lineChart>
        <c:grouping val="standard"/>
        <c:varyColors val="0"/>
        <c:ser>
          <c:idx val="1"/>
          <c:order val="1"/>
          <c:tx>
            <c:strRef>
              <c:f>PARETO_ANALYSIS!$G$5</c:f>
              <c:strCache>
                <c:ptCount val="1"/>
                <c:pt idx="0">
                  <c:v>Cumulative %</c:v>
                </c:pt>
              </c:strCache>
            </c:strRef>
          </c:tx>
          <c:spPr>
            <a:ln w="2484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PARETO_ANALYSIS!$B$6:$B$21</c:f>
              <c:strCache>
                <c:ptCount val="16"/>
                <c:pt idx="0">
                  <c:v>Liner / Wear Plate Wear</c:v>
                </c:pt>
                <c:pt idx="1">
                  <c:v>Belt Rip / Splice Failure</c:v>
                </c:pt>
                <c:pt idx="2">
                  <c:v>Coupling Failure</c:v>
                </c:pt>
                <c:pt idx="3">
                  <c:v>Gearbox Failure</c:v>
                </c:pt>
                <c:pt idx="4">
                  <c:v>Electrical Fault / Trip</c:v>
                </c:pt>
                <c:pt idx="5">
                  <c:v>Seal Leak / Failure</c:v>
                </c:pt>
                <c:pt idx="6">
                  <c:v>Bearing Failure</c:v>
                </c:pt>
                <c:pt idx="7">
                  <c:v>Impeller Wear / Cavitation</c:v>
                </c:pt>
                <c:pt idx="8">
                  <c:v>Process Blockage / Choke</c:v>
                </c:pt>
                <c:pt idx="9">
                  <c:v>Motor Burnout</c:v>
                </c:pt>
                <c:pt idx="10">
                  <c:v>Screen Blinding / Panel Damage</c:v>
                </c:pt>
                <c:pt idx="11">
                  <c:v>Instrumentation Fault</c:v>
                </c:pt>
                <c:pt idx="12">
                  <c:v>Unplanned Power Outage</c:v>
                </c:pt>
                <c:pt idx="13">
                  <c:v>Hydraulic System Failure</c:v>
                </c:pt>
                <c:pt idx="14">
                  <c:v>Structural Crack / Weld Failure</c:v>
                </c:pt>
                <c:pt idx="15">
                  <c:v>Reagent Supply Interruption</c:v>
                </c:pt>
              </c:strCache>
            </c:strRef>
          </c:cat>
          <c:val>
            <c:numRef>
              <c:f>PARETO_ANALYSIS!$G$6:$G$21</c:f>
              <c:numCache>
                <c:formatCode>0.0%</c:formatCode>
                <c:ptCount val="16"/>
                <c:pt idx="0">
                  <c:v>0.17150000000000001</c:v>
                </c:pt>
                <c:pt idx="1">
                  <c:v>0.32400000000000001</c:v>
                </c:pt>
                <c:pt idx="2">
                  <c:v>0.42270000000000002</c:v>
                </c:pt>
                <c:pt idx="3">
                  <c:v>0.51419999999999999</c:v>
                </c:pt>
                <c:pt idx="4">
                  <c:v>0.60470000000000002</c:v>
                </c:pt>
                <c:pt idx="5">
                  <c:v>0.69299999999999995</c:v>
                </c:pt>
                <c:pt idx="6">
                  <c:v>0.76249999999999996</c:v>
                </c:pt>
                <c:pt idx="7">
                  <c:v>0.8155</c:v>
                </c:pt>
                <c:pt idx="8">
                  <c:v>0.85780000000000001</c:v>
                </c:pt>
                <c:pt idx="9">
                  <c:v>0.89639999999999997</c:v>
                </c:pt>
                <c:pt idx="10">
                  <c:v>0.92549999999999999</c:v>
                </c:pt>
                <c:pt idx="11">
                  <c:v>0.9516</c:v>
                </c:pt>
                <c:pt idx="12">
                  <c:v>0.96730000000000005</c:v>
                </c:pt>
                <c:pt idx="13">
                  <c:v>0.98129999999999995</c:v>
                </c:pt>
                <c:pt idx="14">
                  <c:v>0.99360000000000004</c:v>
                </c:pt>
                <c:pt idx="15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555-4F0C-975F-AA08D5F32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060959"/>
        <c:axId val="45234305"/>
      </c:lineChart>
      <c:catAx>
        <c:axId val="3568708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Failure Mode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crossAx val="83880085"/>
        <c:crosses val="autoZero"/>
        <c:auto val="1"/>
        <c:lblAlgn val="ctr"/>
        <c:lblOffset val="100"/>
        <c:noMultiLvlLbl val="0"/>
      </c:catAx>
      <c:valAx>
        <c:axId val="838800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AU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68708"/>
        <c:crosses val="autoZero"/>
        <c:crossBetween val="between"/>
      </c:valAx>
      <c:catAx>
        <c:axId val="10609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234305"/>
        <c:crosses val="autoZero"/>
        <c:auto val="1"/>
        <c:lblAlgn val="ctr"/>
        <c:lblOffset val="100"/>
        <c:noMultiLvlLbl val="0"/>
      </c:catAx>
      <c:valAx>
        <c:axId val="45234305"/>
        <c:scaling>
          <c:orientation val="minMax"/>
        </c:scaling>
        <c:delete val="0"/>
        <c:axPos val="r"/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60959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14940</xdr:colOff>
      <xdr:row>10</xdr:row>
      <xdr:rowOff>14940</xdr:rowOff>
    </xdr:from>
    <xdr:to>
      <xdr:col>13</xdr:col>
      <xdr:colOff>7469</xdr:colOff>
      <xdr:row>29</xdr:row>
      <xdr:rowOff>171823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29883</xdr:colOff>
      <xdr:row>9</xdr:row>
      <xdr:rowOff>223962</xdr:rowOff>
    </xdr:from>
    <xdr:to>
      <xdr:col>29</xdr:col>
      <xdr:colOff>488620</xdr:colOff>
      <xdr:row>29</xdr:row>
      <xdr:rowOff>166220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88593</xdr:colOff>
      <xdr:row>31</xdr:row>
      <xdr:rowOff>76814</xdr:rowOff>
    </xdr:from>
    <xdr:to>
      <xdr:col>14</xdr:col>
      <xdr:colOff>532581</xdr:colOff>
      <xdr:row>50</xdr:row>
      <xdr:rowOff>112661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21</xdr:col>
      <xdr:colOff>20360</xdr:colOff>
      <xdr:row>31</xdr:row>
      <xdr:rowOff>11121</xdr:rowOff>
    </xdr:from>
    <xdr:to>
      <xdr:col>32</xdr:col>
      <xdr:colOff>72712</xdr:colOff>
      <xdr:row>50</xdr:row>
      <xdr:rowOff>161618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4130</xdr:rowOff>
    </xdr:from>
    <xdr:to>
      <xdr:col>18</xdr:col>
      <xdr:colOff>43177</xdr:colOff>
      <xdr:row>16</xdr:row>
      <xdr:rowOff>138814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152158-183F-4AAC-B543-87778A31D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D1B2A"/>
  </sheetPr>
  <dimension ref="A1:AN137"/>
  <sheetViews>
    <sheetView showGridLines="0" topLeftCell="R9" zoomScale="90" zoomScaleNormal="70" workbookViewId="0">
      <selection sqref="A1:Z1"/>
    </sheetView>
  </sheetViews>
  <sheetFormatPr defaultColWidth="8.54296875" defaultRowHeight="14.5" x14ac:dyDescent="0.35"/>
  <cols>
    <col min="1" max="1" width="22.81640625" bestFit="1" customWidth="1"/>
    <col min="2" max="2" width="24.54296875" bestFit="1" customWidth="1"/>
    <col min="3" max="3" width="7.81640625" bestFit="1" customWidth="1"/>
    <col min="4" max="4" width="10.7265625" bestFit="1" customWidth="1"/>
    <col min="5" max="5" width="8.54296875" bestFit="1" customWidth="1"/>
    <col min="6" max="6" width="9.54296875" bestFit="1" customWidth="1"/>
    <col min="7" max="7" width="7.1796875" bestFit="1" customWidth="1"/>
    <col min="8" max="8" width="13.7265625" bestFit="1" customWidth="1"/>
    <col min="9" max="11" width="5.1796875" customWidth="1"/>
    <col min="12" max="12" width="1.54296875" customWidth="1"/>
    <col min="13" max="13" width="21.1796875" bestFit="1" customWidth="1"/>
    <col min="14" max="14" width="10.1796875" bestFit="1" customWidth="1"/>
    <col min="15" max="15" width="8.1796875" bestFit="1" customWidth="1"/>
    <col min="16" max="16" width="21" bestFit="1" customWidth="1"/>
    <col min="17" max="17" width="9.54296875" bestFit="1" customWidth="1"/>
    <col min="18" max="18" width="7.81640625" bestFit="1" customWidth="1"/>
    <col min="19" max="19" width="6.81640625" bestFit="1" customWidth="1"/>
    <col min="20" max="20" width="6.26953125" bestFit="1" customWidth="1"/>
    <col min="21" max="21" width="12.453125" bestFit="1" customWidth="1"/>
    <col min="22" max="26" width="5.1796875" customWidth="1"/>
    <col min="37" max="37" width="36.81640625" customWidth="1"/>
  </cols>
  <sheetData>
    <row r="1" spans="1:26" ht="25.5" customHeight="1" x14ac:dyDescent="0.35">
      <c r="A1" s="143" t="s">
        <v>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spans="1:26" ht="18" customHeight="1" x14ac:dyDescent="0.35">
      <c r="A2" s="144" t="s">
        <v>1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spans="1:26" ht="15.75" customHeight="1" x14ac:dyDescent="0.35">
      <c r="A3" s="145" t="s">
        <v>2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</row>
    <row r="4" spans="1:26" ht="6" customHeight="1" x14ac:dyDescent="0.35"/>
    <row r="5" spans="1:26" ht="15.75" customHeight="1" x14ac:dyDescent="0.35">
      <c r="A5" s="147" t="s">
        <v>3</v>
      </c>
      <c r="B5" s="147"/>
      <c r="C5" s="147"/>
      <c r="D5" s="147"/>
      <c r="E5" s="148" t="s">
        <v>4</v>
      </c>
      <c r="F5" s="148"/>
      <c r="G5" s="148"/>
      <c r="H5" s="148"/>
      <c r="I5" s="149" t="s">
        <v>5</v>
      </c>
      <c r="J5" s="149"/>
      <c r="K5" s="149"/>
      <c r="L5" s="149"/>
      <c r="M5" s="150" t="s">
        <v>6</v>
      </c>
      <c r="N5" s="150"/>
      <c r="O5" s="150"/>
      <c r="P5" s="150"/>
      <c r="Q5" s="151" t="s">
        <v>7</v>
      </c>
      <c r="R5" s="151"/>
      <c r="S5" s="151"/>
      <c r="T5" s="151"/>
      <c r="U5" s="152" t="s">
        <v>8</v>
      </c>
      <c r="V5" s="152"/>
      <c r="W5" s="152"/>
      <c r="X5" s="152"/>
    </row>
    <row r="6" spans="1:26" ht="27.75" customHeight="1" x14ac:dyDescent="0.35">
      <c r="A6" s="137" t="s">
        <v>9</v>
      </c>
      <c r="B6" s="137"/>
      <c r="C6" s="137"/>
      <c r="D6" s="137"/>
      <c r="E6" s="138" t="s">
        <v>10</v>
      </c>
      <c r="F6" s="138"/>
      <c r="G6" s="138"/>
      <c r="H6" s="138"/>
      <c r="I6" s="139" t="s">
        <v>11</v>
      </c>
      <c r="J6" s="139"/>
      <c r="K6" s="139"/>
      <c r="L6" s="139"/>
      <c r="M6" s="140" t="s">
        <v>12</v>
      </c>
      <c r="N6" s="140"/>
      <c r="O6" s="140"/>
      <c r="P6" s="140"/>
      <c r="Q6" s="141" t="s">
        <v>13</v>
      </c>
      <c r="R6" s="141"/>
      <c r="S6" s="141"/>
      <c r="T6" s="141"/>
      <c r="U6" s="153" t="s">
        <v>14</v>
      </c>
      <c r="V6" s="153"/>
      <c r="W6" s="153"/>
      <c r="X6" s="153"/>
    </row>
    <row r="7" spans="1:26" ht="13.5" customHeight="1" x14ac:dyDescent="0.35">
      <c r="A7" s="154" t="s">
        <v>15</v>
      </c>
      <c r="B7" s="154"/>
      <c r="C7" s="154"/>
      <c r="D7" s="154"/>
      <c r="E7" s="155" t="s">
        <v>16</v>
      </c>
      <c r="F7" s="155"/>
      <c r="G7" s="155"/>
      <c r="H7" s="155"/>
      <c r="I7" s="156" t="s">
        <v>17</v>
      </c>
      <c r="J7" s="156"/>
      <c r="K7" s="156"/>
      <c r="L7" s="156"/>
      <c r="M7" s="157" t="s">
        <v>18</v>
      </c>
      <c r="N7" s="157"/>
      <c r="O7" s="157"/>
      <c r="P7" s="157"/>
      <c r="Q7" s="158" t="s">
        <v>19</v>
      </c>
      <c r="R7" s="158"/>
      <c r="S7" s="158"/>
      <c r="T7" s="158"/>
      <c r="U7" s="136" t="s">
        <v>20</v>
      </c>
      <c r="V7" s="136"/>
      <c r="W7" s="136"/>
      <c r="X7" s="136"/>
    </row>
    <row r="8" spans="1:26" ht="7.5" customHeight="1" x14ac:dyDescent="0.35">
      <c r="A8" s="131"/>
      <c r="B8" s="131"/>
      <c r="C8" s="131"/>
      <c r="D8" s="131"/>
      <c r="E8" s="132"/>
      <c r="F8" s="132"/>
      <c r="G8" s="132"/>
      <c r="H8" s="132"/>
      <c r="I8" s="133"/>
      <c r="J8" s="133"/>
      <c r="K8" s="133"/>
      <c r="L8" s="133"/>
      <c r="M8" s="134"/>
      <c r="N8" s="134"/>
      <c r="O8" s="134"/>
      <c r="P8" s="134"/>
      <c r="Q8" s="135"/>
      <c r="R8" s="135"/>
      <c r="S8" s="135"/>
      <c r="T8" s="135"/>
      <c r="U8" s="127"/>
      <c r="V8" s="127"/>
      <c r="W8" s="127"/>
      <c r="X8" s="127"/>
    </row>
    <row r="9" spans="1:26" ht="6" customHeight="1" x14ac:dyDescent="0.35"/>
    <row r="10" spans="1:26" ht="18" customHeight="1" x14ac:dyDescent="0.35">
      <c r="A10" s="128" t="s">
        <v>21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9" t="s">
        <v>22</v>
      </c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</row>
    <row r="11" spans="1:26" ht="15" customHeight="1" x14ac:dyDescent="0.35">
      <c r="A11" s="1" t="s">
        <v>23</v>
      </c>
      <c r="B11" s="1" t="s">
        <v>24</v>
      </c>
      <c r="C11" s="1" t="s">
        <v>25</v>
      </c>
      <c r="D11" s="1" t="s">
        <v>26</v>
      </c>
      <c r="E11" s="1" t="s">
        <v>27</v>
      </c>
      <c r="N11" s="2" t="s">
        <v>28</v>
      </c>
      <c r="O11" s="2" t="s">
        <v>29</v>
      </c>
      <c r="P11" s="2" t="s">
        <v>30</v>
      </c>
      <c r="Q11" s="2" t="s">
        <v>31</v>
      </c>
      <c r="R11" s="2" t="s">
        <v>32</v>
      </c>
    </row>
    <row r="12" spans="1:26" ht="15" customHeight="1" x14ac:dyDescent="0.35">
      <c r="A12" s="3">
        <v>1</v>
      </c>
      <c r="B12" s="4" t="s">
        <v>33</v>
      </c>
      <c r="C12" s="3">
        <v>344.3</v>
      </c>
      <c r="D12" s="5">
        <v>0.17199999999999999</v>
      </c>
      <c r="E12" s="6" t="s">
        <v>34</v>
      </c>
      <c r="N12" s="3" t="s">
        <v>35</v>
      </c>
      <c r="O12" s="3">
        <v>18</v>
      </c>
      <c r="P12" s="3">
        <v>165</v>
      </c>
      <c r="Q12" s="104">
        <v>0.80900000000000005</v>
      </c>
      <c r="R12" s="114" t="s">
        <v>36</v>
      </c>
    </row>
    <row r="13" spans="1:26" ht="15" customHeight="1" x14ac:dyDescent="0.35">
      <c r="A13" s="8">
        <v>2</v>
      </c>
      <c r="B13" s="9" t="s">
        <v>37</v>
      </c>
      <c r="C13" s="8">
        <v>306.10000000000002</v>
      </c>
      <c r="D13" s="10">
        <v>0.32400000000000001</v>
      </c>
      <c r="E13" s="11" t="s">
        <v>34</v>
      </c>
      <c r="N13" s="8" t="s">
        <v>38</v>
      </c>
      <c r="O13" s="8">
        <v>28</v>
      </c>
      <c r="P13" s="8">
        <v>305.3</v>
      </c>
      <c r="Q13" s="105">
        <v>0.77500000000000002</v>
      </c>
      <c r="R13" s="115" t="s">
        <v>36</v>
      </c>
    </row>
    <row r="14" spans="1:26" ht="15" customHeight="1" x14ac:dyDescent="0.35">
      <c r="A14" s="3">
        <v>3</v>
      </c>
      <c r="B14" s="4" t="s">
        <v>39</v>
      </c>
      <c r="C14" s="3">
        <v>198.2</v>
      </c>
      <c r="D14" s="5">
        <v>0.42299999999999999</v>
      </c>
      <c r="E14" s="6" t="s">
        <v>34</v>
      </c>
      <c r="N14" s="3" t="s">
        <v>40</v>
      </c>
      <c r="O14" s="3">
        <v>12</v>
      </c>
      <c r="P14" s="3">
        <v>74</v>
      </c>
      <c r="Q14" s="104">
        <v>0.90500000000000003</v>
      </c>
      <c r="R14" s="116" t="s">
        <v>41</v>
      </c>
    </row>
    <row r="15" spans="1:26" ht="15" customHeight="1" x14ac:dyDescent="0.35">
      <c r="A15" s="8">
        <v>4</v>
      </c>
      <c r="B15" s="9" t="s">
        <v>42</v>
      </c>
      <c r="C15" s="8">
        <v>183.6</v>
      </c>
      <c r="D15" s="10">
        <v>0.51400000000000001</v>
      </c>
      <c r="E15" s="11" t="s">
        <v>34</v>
      </c>
      <c r="N15" s="8" t="s">
        <v>43</v>
      </c>
      <c r="O15" s="8">
        <v>14</v>
      </c>
      <c r="P15" s="8">
        <v>63.6</v>
      </c>
      <c r="Q15" s="105">
        <v>0.92600000000000005</v>
      </c>
      <c r="R15" s="117" t="s">
        <v>41</v>
      </c>
    </row>
    <row r="16" spans="1:26" ht="15" customHeight="1" x14ac:dyDescent="0.35">
      <c r="A16" s="3">
        <v>5</v>
      </c>
      <c r="B16" s="4" t="s">
        <v>44</v>
      </c>
      <c r="C16" s="3">
        <v>181.7</v>
      </c>
      <c r="D16" s="5">
        <v>0.60499999999999998</v>
      </c>
      <c r="E16" s="6" t="s">
        <v>34</v>
      </c>
      <c r="N16" s="3" t="s">
        <v>45</v>
      </c>
      <c r="O16" s="3">
        <v>16</v>
      </c>
      <c r="P16" s="3">
        <v>206.8</v>
      </c>
      <c r="Q16" s="104">
        <v>0.74299999999999999</v>
      </c>
      <c r="R16" s="114" t="s">
        <v>36</v>
      </c>
    </row>
    <row r="17" spans="1:24" ht="15" customHeight="1" x14ac:dyDescent="0.35">
      <c r="A17" s="8">
        <v>6</v>
      </c>
      <c r="B17" s="9" t="s">
        <v>46</v>
      </c>
      <c r="C17" s="8">
        <v>177.3</v>
      </c>
      <c r="D17" s="10">
        <v>0.69299999999999995</v>
      </c>
      <c r="E17" s="11" t="s">
        <v>34</v>
      </c>
      <c r="N17" s="8" t="s">
        <v>47</v>
      </c>
      <c r="O17" s="8">
        <v>21</v>
      </c>
      <c r="P17" s="8">
        <v>106.7</v>
      </c>
      <c r="Q17" s="105">
        <v>0.89600000000000002</v>
      </c>
      <c r="R17" s="118" t="s">
        <v>48</v>
      </c>
    </row>
    <row r="18" spans="1:24" ht="15" customHeight="1" x14ac:dyDescent="0.35">
      <c r="A18" s="3">
        <v>7</v>
      </c>
      <c r="B18" s="4" t="s">
        <v>49</v>
      </c>
      <c r="C18" s="3">
        <v>139.5</v>
      </c>
      <c r="D18" s="5">
        <v>0.76300000000000001</v>
      </c>
      <c r="E18" s="6" t="s">
        <v>34</v>
      </c>
      <c r="N18" s="3" t="s">
        <v>50</v>
      </c>
      <c r="O18" s="3">
        <v>14</v>
      </c>
      <c r="P18" s="3">
        <v>81.900000000000006</v>
      </c>
      <c r="Q18" s="104">
        <v>0.92600000000000005</v>
      </c>
      <c r="R18" s="116" t="s">
        <v>41</v>
      </c>
    </row>
    <row r="19" spans="1:24" ht="15" customHeight="1" x14ac:dyDescent="0.35">
      <c r="A19" s="8">
        <v>8</v>
      </c>
      <c r="B19" s="9" t="s">
        <v>51</v>
      </c>
      <c r="C19" s="8">
        <v>106.4</v>
      </c>
      <c r="D19" s="10">
        <v>0.81599999999999995</v>
      </c>
      <c r="E19" s="11" t="s">
        <v>34</v>
      </c>
      <c r="N19" s="8" t="s">
        <v>52</v>
      </c>
      <c r="O19" s="8">
        <v>23</v>
      </c>
      <c r="P19" s="8">
        <v>200.3</v>
      </c>
      <c r="Q19" s="105">
        <v>0.73799999999999999</v>
      </c>
      <c r="R19" s="115" t="s">
        <v>36</v>
      </c>
    </row>
    <row r="20" spans="1:24" ht="15" customHeight="1" x14ac:dyDescent="0.35">
      <c r="A20" s="3">
        <v>9</v>
      </c>
      <c r="B20" s="13" t="s">
        <v>53</v>
      </c>
      <c r="C20" s="3">
        <v>84.9</v>
      </c>
      <c r="D20" s="5">
        <v>0.85799999999999998</v>
      </c>
      <c r="E20" s="3"/>
      <c r="N20" s="3" t="s">
        <v>54</v>
      </c>
      <c r="O20" s="3">
        <v>20</v>
      </c>
      <c r="P20" s="3">
        <v>121.4</v>
      </c>
      <c r="Q20" s="104">
        <v>0.91</v>
      </c>
      <c r="R20" s="116" t="s">
        <v>41</v>
      </c>
    </row>
    <row r="21" spans="1:24" ht="15" customHeight="1" x14ac:dyDescent="0.35">
      <c r="A21" s="8">
        <v>10</v>
      </c>
      <c r="B21" s="14" t="s">
        <v>55</v>
      </c>
      <c r="C21" s="8">
        <v>77.400000000000006</v>
      </c>
      <c r="D21" s="10">
        <v>0.89600000000000002</v>
      </c>
      <c r="E21" s="8"/>
      <c r="N21" s="8" t="s">
        <v>56</v>
      </c>
      <c r="O21" s="8">
        <v>30</v>
      </c>
      <c r="P21" s="8">
        <v>375.1</v>
      </c>
      <c r="Q21" s="105">
        <v>0.56200000000000006</v>
      </c>
      <c r="R21" s="115" t="s">
        <v>36</v>
      </c>
    </row>
    <row r="22" spans="1:24" ht="15" customHeight="1" x14ac:dyDescent="0.35">
      <c r="A22" s="3">
        <v>11</v>
      </c>
      <c r="B22" s="13" t="s">
        <v>57</v>
      </c>
      <c r="C22" s="3">
        <v>58.4</v>
      </c>
      <c r="D22" s="5">
        <v>0.92500000000000004</v>
      </c>
      <c r="E22" s="3"/>
      <c r="N22" s="3" t="s">
        <v>58</v>
      </c>
      <c r="O22" s="3">
        <v>20</v>
      </c>
      <c r="P22" s="3">
        <v>115.5</v>
      </c>
      <c r="Q22" s="104">
        <v>0.84799999999999998</v>
      </c>
      <c r="R22" s="114" t="s">
        <v>36</v>
      </c>
    </row>
    <row r="23" spans="1:24" ht="15" customHeight="1" x14ac:dyDescent="0.35">
      <c r="A23" s="8">
        <v>12</v>
      </c>
      <c r="B23" s="14" t="s">
        <v>59</v>
      </c>
      <c r="C23" s="8">
        <v>52.4</v>
      </c>
      <c r="D23" s="10">
        <v>0.95199999999999996</v>
      </c>
      <c r="E23" s="8"/>
      <c r="N23" s="8" t="s">
        <v>60</v>
      </c>
      <c r="O23" s="8">
        <v>24</v>
      </c>
      <c r="P23" s="8">
        <v>191.8</v>
      </c>
      <c r="Q23" s="105">
        <v>0.85599999999999998</v>
      </c>
      <c r="R23" s="115" t="s">
        <v>36</v>
      </c>
    </row>
    <row r="24" spans="1:24" ht="15" customHeight="1" x14ac:dyDescent="0.35">
      <c r="A24" s="3">
        <v>13</v>
      </c>
      <c r="B24" s="13" t="s">
        <v>61</v>
      </c>
      <c r="C24" s="3">
        <v>31.6</v>
      </c>
      <c r="D24" s="5">
        <v>0.96699999999999997</v>
      </c>
      <c r="E24" s="3"/>
    </row>
    <row r="25" spans="1:24" ht="15" customHeight="1" x14ac:dyDescent="0.35">
      <c r="A25" s="8">
        <v>14</v>
      </c>
      <c r="B25" s="14" t="s">
        <v>62</v>
      </c>
      <c r="C25" s="8">
        <v>28</v>
      </c>
      <c r="D25" s="10">
        <v>0.98099999999999998</v>
      </c>
      <c r="E25" s="8"/>
    </row>
    <row r="26" spans="1:24" ht="15" customHeight="1" x14ac:dyDescent="0.35">
      <c r="A26" s="3">
        <v>15</v>
      </c>
      <c r="B26" s="13" t="s">
        <v>63</v>
      </c>
      <c r="C26" s="3">
        <v>24.8</v>
      </c>
      <c r="D26" s="5">
        <v>0.99399999999999999</v>
      </c>
      <c r="E26" s="3"/>
    </row>
    <row r="27" spans="1:24" ht="15" customHeight="1" x14ac:dyDescent="0.35">
      <c r="A27" s="8">
        <v>16</v>
      </c>
      <c r="B27" s="14" t="s">
        <v>64</v>
      </c>
      <c r="C27" s="8">
        <v>12.8</v>
      </c>
      <c r="D27" s="10">
        <v>1</v>
      </c>
      <c r="E27" s="8"/>
    </row>
    <row r="28" spans="1:24" ht="15" customHeight="1" x14ac:dyDescent="0.35"/>
    <row r="29" spans="1:24" ht="15" customHeight="1" x14ac:dyDescent="0.35"/>
    <row r="30" spans="1:24" ht="15" customHeight="1" x14ac:dyDescent="0.35"/>
    <row r="31" spans="1:24" ht="18" customHeight="1" x14ac:dyDescent="0.35">
      <c r="A31" s="128" t="s">
        <v>65</v>
      </c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30" t="s">
        <v>66</v>
      </c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</row>
    <row r="32" spans="1:24" ht="15" customHeight="1" x14ac:dyDescent="0.35">
      <c r="A32" s="1" t="s">
        <v>67</v>
      </c>
      <c r="B32" s="1" t="s">
        <v>29</v>
      </c>
      <c r="C32" s="1" t="s">
        <v>25</v>
      </c>
      <c r="D32" s="1" t="s">
        <v>68</v>
      </c>
      <c r="E32" s="1" t="s">
        <v>69</v>
      </c>
      <c r="P32" s="15" t="s">
        <v>70</v>
      </c>
      <c r="Q32" s="15" t="s">
        <v>71</v>
      </c>
      <c r="R32" s="15" t="s">
        <v>72</v>
      </c>
      <c r="S32" s="15" t="s">
        <v>73</v>
      </c>
      <c r="T32" s="15" t="s">
        <v>74</v>
      </c>
      <c r="U32" s="15" t="s">
        <v>27</v>
      </c>
    </row>
    <row r="33" spans="1:40" ht="15" customHeight="1" x14ac:dyDescent="0.35">
      <c r="A33" s="16" t="s">
        <v>75</v>
      </c>
      <c r="B33" s="8">
        <v>78</v>
      </c>
      <c r="C33" s="8">
        <v>681.5</v>
      </c>
      <c r="D33" s="17">
        <v>6632176</v>
      </c>
      <c r="E33" s="8">
        <v>8.6999999999999993</v>
      </c>
      <c r="P33" s="16" t="s">
        <v>75</v>
      </c>
      <c r="Q33" s="8">
        <v>4.7</v>
      </c>
      <c r="R33" s="8">
        <v>8.6999999999999993</v>
      </c>
      <c r="S33" s="12">
        <v>0.91890000000000005</v>
      </c>
      <c r="T33" s="12">
        <v>0.8337</v>
      </c>
      <c r="U33" s="11" t="s">
        <v>76</v>
      </c>
    </row>
    <row r="34" spans="1:40" ht="15" customHeight="1" x14ac:dyDescent="0.35">
      <c r="A34" s="18" t="s">
        <v>77</v>
      </c>
      <c r="B34" s="3">
        <v>35</v>
      </c>
      <c r="C34" s="3">
        <v>367.6</v>
      </c>
      <c r="D34" s="19">
        <v>3530599</v>
      </c>
      <c r="E34" s="3">
        <v>10.5</v>
      </c>
      <c r="P34" s="18" t="s">
        <v>77</v>
      </c>
      <c r="Q34" s="3">
        <v>10.4</v>
      </c>
      <c r="R34" s="3">
        <v>10.5</v>
      </c>
      <c r="S34" s="7">
        <v>0.95620000000000005</v>
      </c>
      <c r="T34" s="7">
        <v>0.86750000000000005</v>
      </c>
      <c r="U34" s="6" t="s">
        <v>76</v>
      </c>
    </row>
    <row r="35" spans="1:40" ht="15" customHeight="1" x14ac:dyDescent="0.35">
      <c r="A35" s="16" t="s">
        <v>78</v>
      </c>
      <c r="B35" s="8">
        <v>32</v>
      </c>
      <c r="C35" s="8">
        <v>305.39999999999998</v>
      </c>
      <c r="D35" s="17">
        <v>3151519</v>
      </c>
      <c r="E35" s="8">
        <v>9.5</v>
      </c>
      <c r="P35" s="16" t="s">
        <v>78</v>
      </c>
      <c r="Q35" s="8">
        <v>11.4</v>
      </c>
      <c r="R35" s="8">
        <v>9.5</v>
      </c>
      <c r="S35" s="12">
        <v>0.96360000000000001</v>
      </c>
      <c r="T35" s="12">
        <v>0.87419999999999998</v>
      </c>
      <c r="U35" s="11" t="s">
        <v>76</v>
      </c>
      <c r="AK35" s="111"/>
      <c r="AL35" s="111"/>
      <c r="AM35" s="111"/>
      <c r="AN35" s="111"/>
    </row>
    <row r="36" spans="1:40" ht="15" customHeight="1" x14ac:dyDescent="0.35">
      <c r="A36" s="18" t="s">
        <v>79</v>
      </c>
      <c r="B36" s="3">
        <v>29</v>
      </c>
      <c r="C36" s="3">
        <v>203</v>
      </c>
      <c r="D36" s="19">
        <v>1994184</v>
      </c>
      <c r="E36" s="3">
        <v>7</v>
      </c>
      <c r="P36" s="18" t="s">
        <v>79</v>
      </c>
      <c r="Q36" s="3">
        <v>12.6</v>
      </c>
      <c r="R36" s="3">
        <v>7</v>
      </c>
      <c r="S36" s="7">
        <v>0.9758</v>
      </c>
      <c r="T36" s="7">
        <v>0.88529999999999998</v>
      </c>
      <c r="U36" s="6" t="s">
        <v>76</v>
      </c>
      <c r="AJ36" s="111"/>
      <c r="AK36" s="111"/>
      <c r="AL36" s="111"/>
      <c r="AM36" s="111"/>
      <c r="AN36" s="111"/>
    </row>
    <row r="37" spans="1:40" ht="15" customHeight="1" x14ac:dyDescent="0.35">
      <c r="A37" s="16" t="s">
        <v>80</v>
      </c>
      <c r="B37" s="8">
        <v>36</v>
      </c>
      <c r="C37" s="8">
        <v>185.1</v>
      </c>
      <c r="D37" s="17">
        <v>1777810</v>
      </c>
      <c r="E37" s="8">
        <v>5.0999999999999996</v>
      </c>
      <c r="P37" s="16" t="s">
        <v>80</v>
      </c>
      <c r="Q37" s="8">
        <v>10.1</v>
      </c>
      <c r="R37" s="8">
        <v>5.0999999999999996</v>
      </c>
      <c r="S37" s="12">
        <v>0.97799999999999998</v>
      </c>
      <c r="T37" s="12">
        <v>0.88729999999999998</v>
      </c>
      <c r="U37" s="11" t="s">
        <v>76</v>
      </c>
      <c r="AJ37" s="111"/>
      <c r="AK37" s="111"/>
      <c r="AL37" s="111"/>
      <c r="AM37" s="111"/>
      <c r="AN37" s="111"/>
    </row>
    <row r="38" spans="1:40" ht="15" customHeight="1" x14ac:dyDescent="0.35">
      <c r="A38" s="18" t="s">
        <v>81</v>
      </c>
      <c r="B38" s="3">
        <v>14</v>
      </c>
      <c r="C38" s="3">
        <v>134.4</v>
      </c>
      <c r="D38" s="19">
        <v>1295187</v>
      </c>
      <c r="E38" s="3">
        <v>9.6</v>
      </c>
      <c r="P38" s="18" t="s">
        <v>81</v>
      </c>
      <c r="Q38" s="3">
        <v>26.1</v>
      </c>
      <c r="R38" s="3">
        <v>9.6</v>
      </c>
      <c r="S38" s="7">
        <v>0.98399999999999999</v>
      </c>
      <c r="T38" s="7">
        <v>0.89270000000000005</v>
      </c>
      <c r="U38" s="6" t="s">
        <v>76</v>
      </c>
      <c r="AJ38" s="142" t="s">
        <v>82</v>
      </c>
      <c r="AK38" s="142"/>
      <c r="AL38" s="111"/>
      <c r="AM38" s="111"/>
      <c r="AN38" s="111"/>
    </row>
    <row r="39" spans="1:40" ht="15" customHeight="1" x14ac:dyDescent="0.35">
      <c r="A39" s="16" t="s">
        <v>83</v>
      </c>
      <c r="B39" s="8">
        <v>6</v>
      </c>
      <c r="C39" s="8">
        <v>74.3</v>
      </c>
      <c r="D39" s="17">
        <v>725748</v>
      </c>
      <c r="E39" s="8">
        <v>12.4</v>
      </c>
      <c r="P39" s="16" t="s">
        <v>83</v>
      </c>
      <c r="Q39" s="8">
        <v>60.8</v>
      </c>
      <c r="R39" s="8">
        <v>12.4</v>
      </c>
      <c r="S39" s="12">
        <v>0.99119999999999997</v>
      </c>
      <c r="T39" s="12">
        <v>0.89929999999999999</v>
      </c>
      <c r="U39" s="11" t="s">
        <v>76</v>
      </c>
      <c r="AJ39" s="142"/>
      <c r="AK39" s="142"/>
      <c r="AL39" s="111"/>
      <c r="AM39" s="111"/>
      <c r="AN39" s="111"/>
    </row>
    <row r="40" spans="1:40" ht="15" customHeight="1" x14ac:dyDescent="0.35">
      <c r="A40" s="18" t="s">
        <v>84</v>
      </c>
      <c r="B40" s="3">
        <v>10</v>
      </c>
      <c r="C40" s="3">
        <v>56.1</v>
      </c>
      <c r="D40" s="19">
        <v>493316</v>
      </c>
      <c r="E40" s="3">
        <v>5.6</v>
      </c>
      <c r="P40" s="18" t="s">
        <v>84</v>
      </c>
      <c r="Q40" s="3">
        <v>36.5</v>
      </c>
      <c r="R40" s="3">
        <v>5.6</v>
      </c>
      <c r="S40" s="7">
        <v>0.99329999999999996</v>
      </c>
      <c r="T40" s="7">
        <v>0.9012</v>
      </c>
      <c r="U40" s="6" t="s">
        <v>76</v>
      </c>
      <c r="AJ40" s="142"/>
      <c r="AK40" s="142"/>
      <c r="AL40" s="111"/>
      <c r="AM40" s="111"/>
      <c r="AN40" s="111"/>
    </row>
    <row r="41" spans="1:40" ht="15" customHeight="1" x14ac:dyDescent="0.35">
      <c r="AJ41" s="142"/>
      <c r="AK41" s="142"/>
      <c r="AL41" s="111"/>
      <c r="AM41" s="111"/>
      <c r="AN41" s="111"/>
    </row>
    <row r="42" spans="1:40" ht="15" customHeight="1" x14ac:dyDescent="0.35">
      <c r="AJ42" s="111"/>
      <c r="AK42" s="111"/>
      <c r="AL42" s="111"/>
      <c r="AM42" s="111"/>
      <c r="AN42" s="111"/>
    </row>
    <row r="43" spans="1:40" ht="15" customHeight="1" x14ac:dyDescent="0.35">
      <c r="AJ43" s="111"/>
      <c r="AK43" s="111"/>
      <c r="AL43" s="111"/>
      <c r="AM43" s="111"/>
      <c r="AN43" s="111"/>
    </row>
    <row r="44" spans="1:40" ht="15" customHeight="1" x14ac:dyDescent="0.35">
      <c r="AJ44" s="111"/>
      <c r="AK44" s="111"/>
      <c r="AL44" s="111"/>
      <c r="AM44" s="111"/>
      <c r="AN44" s="111"/>
    </row>
    <row r="45" spans="1:40" ht="15" customHeight="1" x14ac:dyDescent="0.35">
      <c r="AJ45" s="111"/>
      <c r="AK45" s="111"/>
      <c r="AL45" s="111"/>
      <c r="AM45" s="111"/>
      <c r="AN45" s="111"/>
    </row>
    <row r="46" spans="1:40" ht="15" customHeight="1" x14ac:dyDescent="0.35">
      <c r="AJ46" s="111"/>
      <c r="AK46" s="111"/>
      <c r="AL46" s="111"/>
      <c r="AM46" s="111"/>
      <c r="AN46" s="111"/>
    </row>
    <row r="47" spans="1:40" ht="15" customHeight="1" x14ac:dyDescent="0.35"/>
    <row r="48" spans="1:40" ht="15" customHeight="1" x14ac:dyDescent="0.35"/>
    <row r="49" spans="1:26" ht="15" customHeight="1" x14ac:dyDescent="0.35"/>
    <row r="50" spans="1:26" ht="15" customHeight="1" x14ac:dyDescent="0.35"/>
    <row r="51" spans="1:26" ht="15" customHeight="1" x14ac:dyDescent="0.35"/>
    <row r="52" spans="1:26" ht="18" customHeight="1" x14ac:dyDescent="0.35">
      <c r="A52" s="124" t="s">
        <v>85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</row>
    <row r="53" spans="1:26" ht="18" customHeight="1" x14ac:dyDescent="0.35">
      <c r="A53" s="20" t="s">
        <v>67</v>
      </c>
      <c r="B53" s="20" t="s">
        <v>86</v>
      </c>
      <c r="C53" s="20" t="s">
        <v>87</v>
      </c>
      <c r="D53" s="20" t="s">
        <v>88</v>
      </c>
      <c r="E53" s="20" t="s">
        <v>69</v>
      </c>
      <c r="F53" s="20" t="s">
        <v>89</v>
      </c>
      <c r="G53" s="20" t="s">
        <v>74</v>
      </c>
      <c r="H53" s="20" t="s">
        <v>27</v>
      </c>
    </row>
    <row r="54" spans="1:26" ht="15" customHeight="1" x14ac:dyDescent="0.35">
      <c r="A54" s="21" t="s">
        <v>75</v>
      </c>
      <c r="B54" s="22">
        <v>78</v>
      </c>
      <c r="C54" s="22">
        <v>681.5</v>
      </c>
      <c r="D54" s="22">
        <v>4.7</v>
      </c>
      <c r="E54" s="22">
        <v>8.6999999999999993</v>
      </c>
      <c r="F54" s="22">
        <v>0.91890000000000005</v>
      </c>
      <c r="G54" s="102">
        <v>0.8337</v>
      </c>
      <c r="H54" s="24" t="s">
        <v>76</v>
      </c>
    </row>
    <row r="55" spans="1:26" ht="15" customHeight="1" x14ac:dyDescent="0.35">
      <c r="A55" s="25" t="s">
        <v>77</v>
      </c>
      <c r="B55" s="26">
        <v>35</v>
      </c>
      <c r="C55" s="26">
        <v>367.6</v>
      </c>
      <c r="D55" s="26">
        <v>10.4</v>
      </c>
      <c r="E55" s="26">
        <v>10.5</v>
      </c>
      <c r="F55" s="22">
        <v>0.91890000000000005</v>
      </c>
      <c r="G55" s="103">
        <v>0.86750000000000005</v>
      </c>
      <c r="H55" s="28" t="s">
        <v>76</v>
      </c>
    </row>
    <row r="56" spans="1:26" ht="15" customHeight="1" x14ac:dyDescent="0.35">
      <c r="A56" s="21" t="s">
        <v>78</v>
      </c>
      <c r="B56" s="22">
        <v>32</v>
      </c>
      <c r="C56" s="22">
        <v>305.39999999999998</v>
      </c>
      <c r="D56" s="22">
        <v>11.4</v>
      </c>
      <c r="E56" s="22">
        <v>9.5</v>
      </c>
      <c r="F56" s="22">
        <v>0.91890000000000005</v>
      </c>
      <c r="G56" s="102">
        <v>0.87419999999999998</v>
      </c>
      <c r="H56" s="24" t="s">
        <v>76</v>
      </c>
    </row>
    <row r="57" spans="1:26" ht="15" customHeight="1" x14ac:dyDescent="0.35">
      <c r="A57" s="25" t="s">
        <v>79</v>
      </c>
      <c r="B57" s="26">
        <v>29</v>
      </c>
      <c r="C57" s="26">
        <v>203</v>
      </c>
      <c r="D57" s="26">
        <v>12.6</v>
      </c>
      <c r="E57" s="26">
        <v>7</v>
      </c>
      <c r="F57" s="22">
        <v>0.91890000000000005</v>
      </c>
      <c r="G57" s="103">
        <v>0.88529999999999998</v>
      </c>
      <c r="H57" s="28" t="s">
        <v>76</v>
      </c>
    </row>
    <row r="58" spans="1:26" ht="15" customHeight="1" x14ac:dyDescent="0.35">
      <c r="A58" s="21" t="s">
        <v>80</v>
      </c>
      <c r="B58" s="22">
        <v>36</v>
      </c>
      <c r="C58" s="22">
        <v>185.1</v>
      </c>
      <c r="D58" s="22">
        <v>10.1</v>
      </c>
      <c r="E58" s="22">
        <v>5.0999999999999996</v>
      </c>
      <c r="F58" s="22">
        <v>0.91890000000000005</v>
      </c>
      <c r="G58" s="102">
        <v>0.88729999999999998</v>
      </c>
      <c r="H58" s="24" t="s">
        <v>76</v>
      </c>
    </row>
    <row r="59" spans="1:26" ht="15" customHeight="1" x14ac:dyDescent="0.35">
      <c r="A59" s="25" t="s">
        <v>81</v>
      </c>
      <c r="B59" s="26">
        <v>14</v>
      </c>
      <c r="C59" s="26">
        <v>134.4</v>
      </c>
      <c r="D59" s="26">
        <v>26.1</v>
      </c>
      <c r="E59" s="26">
        <v>9.6</v>
      </c>
      <c r="F59" s="22">
        <v>0.91890000000000005</v>
      </c>
      <c r="G59" s="103">
        <v>0.89270000000000005</v>
      </c>
      <c r="H59" s="28" t="s">
        <v>76</v>
      </c>
    </row>
    <row r="60" spans="1:26" ht="15" customHeight="1" x14ac:dyDescent="0.35">
      <c r="A60" s="21" t="s">
        <v>83</v>
      </c>
      <c r="B60" s="22">
        <v>6</v>
      </c>
      <c r="C60" s="22">
        <v>74.3</v>
      </c>
      <c r="D60" s="22">
        <v>60.8</v>
      </c>
      <c r="E60" s="22">
        <v>12.4</v>
      </c>
      <c r="F60" s="22">
        <v>0.91890000000000005</v>
      </c>
      <c r="G60" s="102">
        <v>0.89929999999999999</v>
      </c>
      <c r="H60" s="24" t="s">
        <v>76</v>
      </c>
    </row>
    <row r="61" spans="1:26" ht="15" customHeight="1" x14ac:dyDescent="0.35">
      <c r="A61" s="25" t="s">
        <v>84</v>
      </c>
      <c r="B61" s="26">
        <v>10</v>
      </c>
      <c r="C61" s="26">
        <v>56.1</v>
      </c>
      <c r="D61" s="26">
        <v>36.5</v>
      </c>
      <c r="E61" s="26">
        <v>5.6</v>
      </c>
      <c r="F61" s="22">
        <v>0.91890000000000005</v>
      </c>
      <c r="G61" s="103">
        <v>0.9012</v>
      </c>
      <c r="H61" s="28" t="s">
        <v>76</v>
      </c>
    </row>
    <row r="62" spans="1:26" ht="15" customHeight="1" x14ac:dyDescent="0.35"/>
    <row r="63" spans="1:26" ht="15" customHeight="1" x14ac:dyDescent="0.35"/>
    <row r="64" spans="1:26" ht="24" customHeight="1" x14ac:dyDescent="0.35">
      <c r="A64" s="125" t="s">
        <v>90</v>
      </c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 spans="1:26" ht="15" customHeight="1" x14ac:dyDescent="0.35"/>
    <row r="66" spans="1:26" ht="12" customHeight="1" x14ac:dyDescent="0.35">
      <c r="A66" s="126" t="s">
        <v>91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spans="1:26" ht="15" customHeight="1" x14ac:dyDescent="0.35"/>
    <row r="68" spans="1:26" ht="15" customHeight="1" x14ac:dyDescent="0.35"/>
    <row r="69" spans="1:26" ht="15" customHeight="1" x14ac:dyDescent="0.35"/>
    <row r="70" spans="1:26" ht="15" customHeight="1" x14ac:dyDescent="0.35"/>
    <row r="71" spans="1:26" ht="15" customHeight="1" x14ac:dyDescent="0.35"/>
    <row r="72" spans="1:26" ht="15" customHeight="1" x14ac:dyDescent="0.35"/>
    <row r="73" spans="1:26" ht="15" customHeight="1" x14ac:dyDescent="0.35"/>
    <row r="74" spans="1:26" ht="15" customHeight="1" x14ac:dyDescent="0.35"/>
    <row r="120" spans="25:26" ht="15" customHeight="1" x14ac:dyDescent="0.35">
      <c r="Y120" t="s">
        <v>75</v>
      </c>
      <c r="Z120">
        <v>6632176</v>
      </c>
    </row>
    <row r="121" spans="25:26" ht="15" customHeight="1" x14ac:dyDescent="0.35">
      <c r="Y121" t="s">
        <v>77</v>
      </c>
      <c r="Z121">
        <v>3530599</v>
      </c>
    </row>
    <row r="122" spans="25:26" ht="15" customHeight="1" x14ac:dyDescent="0.35">
      <c r="Y122" t="s">
        <v>78</v>
      </c>
      <c r="Z122">
        <v>3151519</v>
      </c>
    </row>
    <row r="123" spans="25:26" ht="15" customHeight="1" x14ac:dyDescent="0.35">
      <c r="Y123" t="s">
        <v>79</v>
      </c>
      <c r="Z123">
        <v>1994184</v>
      </c>
    </row>
    <row r="124" spans="25:26" ht="15" customHeight="1" x14ac:dyDescent="0.35">
      <c r="Y124" t="s">
        <v>80</v>
      </c>
      <c r="Z124">
        <v>1777810</v>
      </c>
    </row>
    <row r="125" spans="25:26" ht="15" customHeight="1" x14ac:dyDescent="0.35">
      <c r="Y125" t="s">
        <v>81</v>
      </c>
      <c r="Z125">
        <v>1295187</v>
      </c>
    </row>
    <row r="126" spans="25:26" ht="15" customHeight="1" x14ac:dyDescent="0.35">
      <c r="Y126" t="s">
        <v>83</v>
      </c>
      <c r="Z126">
        <v>725748</v>
      </c>
    </row>
    <row r="127" spans="25:26" ht="15" customHeight="1" x14ac:dyDescent="0.35">
      <c r="Y127" t="s">
        <v>84</v>
      </c>
      <c r="Z127">
        <v>493316</v>
      </c>
    </row>
    <row r="135" spans="25:27" ht="15" customHeight="1" x14ac:dyDescent="0.35">
      <c r="Y135" t="s">
        <v>92</v>
      </c>
      <c r="Z135">
        <v>77</v>
      </c>
      <c r="AA135">
        <v>661</v>
      </c>
    </row>
    <row r="136" spans="25:27" ht="15" customHeight="1" x14ac:dyDescent="0.35">
      <c r="Y136" t="s">
        <v>93</v>
      </c>
      <c r="Z136">
        <v>73</v>
      </c>
      <c r="AA136">
        <v>471.5</v>
      </c>
    </row>
    <row r="137" spans="25:27" ht="15" customHeight="1" x14ac:dyDescent="0.35">
      <c r="Y137" t="s">
        <v>94</v>
      </c>
      <c r="Z137">
        <v>90</v>
      </c>
      <c r="AA137">
        <v>874.9</v>
      </c>
    </row>
  </sheetData>
  <mergeCells count="35">
    <mergeCell ref="AJ38:AK41"/>
    <mergeCell ref="A1:Z1"/>
    <mergeCell ref="A2:Z2"/>
    <mergeCell ref="A3:Z3"/>
    <mergeCell ref="A5:D5"/>
    <mergeCell ref="E5:H5"/>
    <mergeCell ref="I5:L5"/>
    <mergeCell ref="M5:P5"/>
    <mergeCell ref="Q5:T5"/>
    <mergeCell ref="U5:X5"/>
    <mergeCell ref="U6:X6"/>
    <mergeCell ref="A7:D7"/>
    <mergeCell ref="E7:H7"/>
    <mergeCell ref="I7:L7"/>
    <mergeCell ref="M7:P7"/>
    <mergeCell ref="Q7:T7"/>
    <mergeCell ref="U7:X7"/>
    <mergeCell ref="A6:D6"/>
    <mergeCell ref="E6:H6"/>
    <mergeCell ref="I6:L6"/>
    <mergeCell ref="M6:P6"/>
    <mergeCell ref="Q6:T6"/>
    <mergeCell ref="A52:X52"/>
    <mergeCell ref="A64:Z64"/>
    <mergeCell ref="A66:Z66"/>
    <mergeCell ref="U8:X8"/>
    <mergeCell ref="A10:L10"/>
    <mergeCell ref="M10:X10"/>
    <mergeCell ref="A31:L31"/>
    <mergeCell ref="M31:X31"/>
    <mergeCell ref="A8:D8"/>
    <mergeCell ref="E8:H8"/>
    <mergeCell ref="I8:L8"/>
    <mergeCell ref="M8:P8"/>
    <mergeCell ref="Q8:T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3A5C"/>
  </sheetPr>
  <dimension ref="A1:Q243"/>
  <sheetViews>
    <sheetView zoomScale="80" zoomScaleNormal="80" workbookViewId="0">
      <pane ySplit="3" topLeftCell="A238" activePane="bottomLeft" state="frozen"/>
      <selection pane="bottomLeft" activeCell="D3" sqref="D3"/>
    </sheetView>
  </sheetViews>
  <sheetFormatPr defaultColWidth="8.54296875" defaultRowHeight="14.5" x14ac:dyDescent="0.35"/>
  <cols>
    <col min="1" max="1" width="11" customWidth="1"/>
    <col min="2" max="2" width="12" customWidth="1"/>
    <col min="3" max="3" width="6" customWidth="1"/>
    <col min="4" max="4" width="5" customWidth="1"/>
    <col min="5" max="6" width="22" customWidth="1"/>
    <col min="7" max="7" width="11" customWidth="1"/>
    <col min="8" max="9" width="26" customWidth="1"/>
    <col min="10" max="10" width="13" customWidth="1"/>
    <col min="11" max="12" width="10" customWidth="1"/>
    <col min="13" max="13" width="13" customWidth="1"/>
    <col min="14" max="14" width="12" customWidth="1"/>
    <col min="15" max="15" width="11" customWidth="1"/>
    <col min="16" max="17" width="12" customWidth="1"/>
  </cols>
  <sheetData>
    <row r="1" spans="1:17" ht="25.5" customHeight="1" x14ac:dyDescent="0.35">
      <c r="A1" s="159" t="s">
        <v>95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</row>
    <row r="2" spans="1:17" ht="15" customHeight="1" x14ac:dyDescent="0.35">
      <c r="A2" s="160" t="s">
        <v>96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</row>
    <row r="3" spans="1:17" ht="30" customHeight="1" x14ac:dyDescent="0.35">
      <c r="A3" s="29" t="s">
        <v>97</v>
      </c>
      <c r="B3" s="29" t="s">
        <v>98</v>
      </c>
      <c r="C3" s="29" t="s">
        <v>28</v>
      </c>
      <c r="D3" s="29" t="s">
        <v>99</v>
      </c>
      <c r="E3" s="29" t="s">
        <v>100</v>
      </c>
      <c r="F3" s="29" t="s">
        <v>67</v>
      </c>
      <c r="G3" s="29" t="s">
        <v>101</v>
      </c>
      <c r="H3" s="29" t="s">
        <v>24</v>
      </c>
      <c r="I3" s="29" t="s">
        <v>102</v>
      </c>
      <c r="J3" s="29" t="s">
        <v>103</v>
      </c>
      <c r="K3" s="29" t="s">
        <v>104</v>
      </c>
      <c r="L3" s="29" t="s">
        <v>105</v>
      </c>
      <c r="M3" s="29" t="s">
        <v>106</v>
      </c>
      <c r="N3" s="29" t="s">
        <v>107</v>
      </c>
      <c r="O3" s="29" t="s">
        <v>108</v>
      </c>
      <c r="P3" s="29" t="s">
        <v>109</v>
      </c>
      <c r="Q3" s="29" t="s">
        <v>110</v>
      </c>
    </row>
    <row r="4" spans="1:17" ht="15" customHeight="1" x14ac:dyDescent="0.35">
      <c r="A4" s="30" t="s">
        <v>111</v>
      </c>
      <c r="B4" s="31">
        <v>46024</v>
      </c>
      <c r="C4" s="30" t="s">
        <v>35</v>
      </c>
      <c r="D4" s="30">
        <v>1</v>
      </c>
      <c r="E4" s="32" t="s">
        <v>112</v>
      </c>
      <c r="F4" s="32" t="s">
        <v>77</v>
      </c>
      <c r="G4" s="30" t="s">
        <v>113</v>
      </c>
      <c r="H4" s="32" t="s">
        <v>33</v>
      </c>
      <c r="I4" s="32" t="s">
        <v>114</v>
      </c>
      <c r="J4" s="30" t="s">
        <v>94</v>
      </c>
      <c r="K4" s="33">
        <v>8.6999999999999993</v>
      </c>
      <c r="L4" s="34">
        <v>7809</v>
      </c>
      <c r="M4" s="35">
        <v>89260</v>
      </c>
      <c r="N4" s="30" t="s">
        <v>115</v>
      </c>
      <c r="O4" s="36" t="s">
        <v>116</v>
      </c>
      <c r="P4" s="30" t="s">
        <v>117</v>
      </c>
      <c r="Q4" s="30" t="s">
        <v>118</v>
      </c>
    </row>
    <row r="5" spans="1:17" ht="15" customHeight="1" x14ac:dyDescent="0.35">
      <c r="A5" s="37" t="s">
        <v>119</v>
      </c>
      <c r="B5" s="38">
        <v>46027</v>
      </c>
      <c r="C5" s="37" t="s">
        <v>35</v>
      </c>
      <c r="D5" s="37">
        <v>1</v>
      </c>
      <c r="E5" s="39" t="s">
        <v>120</v>
      </c>
      <c r="F5" s="39" t="s">
        <v>77</v>
      </c>
      <c r="G5" s="37" t="s">
        <v>113</v>
      </c>
      <c r="H5" s="39" t="s">
        <v>42</v>
      </c>
      <c r="I5" s="39" t="s">
        <v>121</v>
      </c>
      <c r="J5" s="37" t="s">
        <v>93</v>
      </c>
      <c r="K5" s="40">
        <v>34.700000000000003</v>
      </c>
      <c r="L5" s="41">
        <v>18486</v>
      </c>
      <c r="M5" s="42">
        <v>282371</v>
      </c>
      <c r="N5" s="37" t="s">
        <v>122</v>
      </c>
      <c r="O5" s="43" t="s">
        <v>123</v>
      </c>
      <c r="P5" s="37" t="s">
        <v>124</v>
      </c>
      <c r="Q5" s="37" t="s">
        <v>125</v>
      </c>
    </row>
    <row r="6" spans="1:17" ht="15" customHeight="1" x14ac:dyDescent="0.35">
      <c r="A6" s="30" t="s">
        <v>126</v>
      </c>
      <c r="B6" s="31">
        <v>46027</v>
      </c>
      <c r="C6" s="30" t="s">
        <v>35</v>
      </c>
      <c r="D6" s="30">
        <v>1</v>
      </c>
      <c r="E6" s="32" t="s">
        <v>127</v>
      </c>
      <c r="F6" s="32" t="s">
        <v>80</v>
      </c>
      <c r="G6" s="30" t="s">
        <v>113</v>
      </c>
      <c r="H6" s="32" t="s">
        <v>46</v>
      </c>
      <c r="I6" s="32" t="s">
        <v>121</v>
      </c>
      <c r="J6" s="30" t="s">
        <v>94</v>
      </c>
      <c r="K6" s="33">
        <v>3.7</v>
      </c>
      <c r="L6" s="34">
        <v>4184</v>
      </c>
      <c r="M6" s="35">
        <v>35951</v>
      </c>
      <c r="N6" s="30" t="s">
        <v>115</v>
      </c>
      <c r="O6" s="44" t="s">
        <v>128</v>
      </c>
      <c r="P6" s="30" t="s">
        <v>129</v>
      </c>
      <c r="Q6" s="30" t="s">
        <v>130</v>
      </c>
    </row>
    <row r="7" spans="1:17" ht="15" customHeight="1" x14ac:dyDescent="0.35">
      <c r="A7" s="37" t="s">
        <v>131</v>
      </c>
      <c r="B7" s="38">
        <v>46027</v>
      </c>
      <c r="C7" s="37" t="s">
        <v>35</v>
      </c>
      <c r="D7" s="37">
        <v>1</v>
      </c>
      <c r="E7" s="39" t="s">
        <v>112</v>
      </c>
      <c r="F7" s="39" t="s">
        <v>77</v>
      </c>
      <c r="G7" s="37" t="s">
        <v>113</v>
      </c>
      <c r="H7" s="39" t="s">
        <v>57</v>
      </c>
      <c r="I7" s="39" t="s">
        <v>132</v>
      </c>
      <c r="J7" s="37" t="s">
        <v>92</v>
      </c>
      <c r="K7" s="40">
        <v>2.2000000000000002</v>
      </c>
      <c r="L7" s="41">
        <v>2078</v>
      </c>
      <c r="M7" s="42">
        <v>19137</v>
      </c>
      <c r="N7" s="37" t="s">
        <v>115</v>
      </c>
      <c r="O7" s="45" t="s">
        <v>128</v>
      </c>
      <c r="P7" s="37" t="s">
        <v>133</v>
      </c>
      <c r="Q7" s="37" t="s">
        <v>125</v>
      </c>
    </row>
    <row r="8" spans="1:17" ht="15" customHeight="1" x14ac:dyDescent="0.35">
      <c r="A8" s="30" t="s">
        <v>134</v>
      </c>
      <c r="B8" s="31">
        <v>46031</v>
      </c>
      <c r="C8" s="30" t="s">
        <v>35</v>
      </c>
      <c r="D8" s="30">
        <v>1</v>
      </c>
      <c r="E8" s="32" t="s">
        <v>135</v>
      </c>
      <c r="F8" s="32" t="s">
        <v>75</v>
      </c>
      <c r="G8" s="30" t="s">
        <v>113</v>
      </c>
      <c r="H8" s="32" t="s">
        <v>33</v>
      </c>
      <c r="I8" s="32" t="s">
        <v>121</v>
      </c>
      <c r="J8" s="30" t="s">
        <v>94</v>
      </c>
      <c r="K8" s="33">
        <v>13.4</v>
      </c>
      <c r="L8" s="34">
        <v>13379</v>
      </c>
      <c r="M8" s="35">
        <v>114264</v>
      </c>
      <c r="N8" s="30" t="s">
        <v>122</v>
      </c>
      <c r="O8" s="36" t="s">
        <v>116</v>
      </c>
      <c r="P8" s="30" t="s">
        <v>136</v>
      </c>
      <c r="Q8" s="30" t="s">
        <v>118</v>
      </c>
    </row>
    <row r="9" spans="1:17" ht="15" customHeight="1" x14ac:dyDescent="0.35">
      <c r="A9" s="37" t="s">
        <v>137</v>
      </c>
      <c r="B9" s="38">
        <v>46032</v>
      </c>
      <c r="C9" s="37" t="s">
        <v>35</v>
      </c>
      <c r="D9" s="37">
        <v>1</v>
      </c>
      <c r="E9" s="39" t="s">
        <v>135</v>
      </c>
      <c r="F9" s="39" t="s">
        <v>75</v>
      </c>
      <c r="G9" s="37" t="s">
        <v>113</v>
      </c>
      <c r="H9" s="39" t="s">
        <v>42</v>
      </c>
      <c r="I9" s="39" t="s">
        <v>132</v>
      </c>
      <c r="J9" s="37" t="s">
        <v>92</v>
      </c>
      <c r="K9" s="40">
        <v>6.4</v>
      </c>
      <c r="L9" s="41">
        <v>5725</v>
      </c>
      <c r="M9" s="42">
        <v>63031</v>
      </c>
      <c r="N9" s="37" t="s">
        <v>122</v>
      </c>
      <c r="O9" s="46" t="s">
        <v>116</v>
      </c>
      <c r="P9" s="37" t="s">
        <v>138</v>
      </c>
      <c r="Q9" s="37" t="s">
        <v>139</v>
      </c>
    </row>
    <row r="10" spans="1:17" ht="15" customHeight="1" x14ac:dyDescent="0.35">
      <c r="A10" s="30" t="s">
        <v>140</v>
      </c>
      <c r="B10" s="31">
        <v>46034</v>
      </c>
      <c r="C10" s="30" t="s">
        <v>35</v>
      </c>
      <c r="D10" s="30">
        <v>1</v>
      </c>
      <c r="E10" s="32" t="s">
        <v>135</v>
      </c>
      <c r="F10" s="32" t="s">
        <v>75</v>
      </c>
      <c r="G10" s="30" t="s">
        <v>113</v>
      </c>
      <c r="H10" s="32" t="s">
        <v>53</v>
      </c>
      <c r="I10" s="32" t="s">
        <v>141</v>
      </c>
      <c r="J10" s="30" t="s">
        <v>94</v>
      </c>
      <c r="K10" s="33">
        <v>1.6</v>
      </c>
      <c r="L10" s="34">
        <v>1690</v>
      </c>
      <c r="M10" s="35">
        <v>18467</v>
      </c>
      <c r="N10" s="30" t="s">
        <v>122</v>
      </c>
      <c r="O10" s="47" t="s">
        <v>142</v>
      </c>
      <c r="P10" s="30" t="s">
        <v>143</v>
      </c>
      <c r="Q10" s="30" t="s">
        <v>130</v>
      </c>
    </row>
    <row r="11" spans="1:17" ht="15" customHeight="1" x14ac:dyDescent="0.35">
      <c r="A11" s="37" t="s">
        <v>144</v>
      </c>
      <c r="B11" s="38">
        <v>46037</v>
      </c>
      <c r="C11" s="37" t="s">
        <v>35</v>
      </c>
      <c r="D11" s="37">
        <v>1</v>
      </c>
      <c r="E11" s="39" t="s">
        <v>145</v>
      </c>
      <c r="F11" s="39" t="s">
        <v>84</v>
      </c>
      <c r="G11" s="37" t="s">
        <v>113</v>
      </c>
      <c r="H11" s="39" t="s">
        <v>33</v>
      </c>
      <c r="I11" s="39" t="s">
        <v>146</v>
      </c>
      <c r="J11" s="37" t="s">
        <v>92</v>
      </c>
      <c r="K11" s="40">
        <v>4.8</v>
      </c>
      <c r="L11" s="41">
        <v>5489</v>
      </c>
      <c r="M11" s="42">
        <v>42203</v>
      </c>
      <c r="N11" s="37" t="s">
        <v>122</v>
      </c>
      <c r="O11" s="45" t="s">
        <v>128</v>
      </c>
      <c r="P11" s="37" t="s">
        <v>147</v>
      </c>
      <c r="Q11" s="37" t="s">
        <v>118</v>
      </c>
    </row>
    <row r="12" spans="1:17" ht="15" customHeight="1" x14ac:dyDescent="0.35">
      <c r="A12" s="30" t="s">
        <v>148</v>
      </c>
      <c r="B12" s="31">
        <v>46037</v>
      </c>
      <c r="C12" s="30" t="s">
        <v>35</v>
      </c>
      <c r="D12" s="30">
        <v>1</v>
      </c>
      <c r="E12" s="32" t="s">
        <v>149</v>
      </c>
      <c r="F12" s="32" t="s">
        <v>75</v>
      </c>
      <c r="G12" s="30" t="s">
        <v>113</v>
      </c>
      <c r="H12" s="32" t="s">
        <v>33</v>
      </c>
      <c r="I12" s="32" t="s">
        <v>132</v>
      </c>
      <c r="J12" s="30" t="s">
        <v>94</v>
      </c>
      <c r="K12" s="33">
        <v>58.5</v>
      </c>
      <c r="L12" s="34">
        <v>55456</v>
      </c>
      <c r="M12" s="35">
        <v>636717</v>
      </c>
      <c r="N12" s="30" t="s">
        <v>122</v>
      </c>
      <c r="O12" s="48" t="s">
        <v>123</v>
      </c>
      <c r="P12" s="30" t="s">
        <v>150</v>
      </c>
      <c r="Q12" s="30" t="s">
        <v>118</v>
      </c>
    </row>
    <row r="13" spans="1:17" ht="15" customHeight="1" x14ac:dyDescent="0.35">
      <c r="A13" s="37" t="s">
        <v>151</v>
      </c>
      <c r="B13" s="38">
        <v>46037</v>
      </c>
      <c r="C13" s="37" t="s">
        <v>35</v>
      </c>
      <c r="D13" s="37">
        <v>1</v>
      </c>
      <c r="E13" s="39" t="s">
        <v>152</v>
      </c>
      <c r="F13" s="39" t="s">
        <v>78</v>
      </c>
      <c r="G13" s="37" t="s">
        <v>113</v>
      </c>
      <c r="H13" s="39" t="s">
        <v>46</v>
      </c>
      <c r="I13" s="39" t="s">
        <v>121</v>
      </c>
      <c r="J13" s="37" t="s">
        <v>94</v>
      </c>
      <c r="K13" s="40">
        <v>5.3</v>
      </c>
      <c r="L13" s="41">
        <v>3554</v>
      </c>
      <c r="M13" s="42">
        <v>43070</v>
      </c>
      <c r="N13" s="37" t="s">
        <v>122</v>
      </c>
      <c r="O13" s="45" t="s">
        <v>128</v>
      </c>
      <c r="P13" s="37" t="s">
        <v>153</v>
      </c>
      <c r="Q13" s="37" t="s">
        <v>125</v>
      </c>
    </row>
    <row r="14" spans="1:17" ht="15" customHeight="1" x14ac:dyDescent="0.35">
      <c r="A14" s="30" t="s">
        <v>154</v>
      </c>
      <c r="B14" s="31">
        <v>46042</v>
      </c>
      <c r="C14" s="30" t="s">
        <v>35</v>
      </c>
      <c r="D14" s="30">
        <v>1</v>
      </c>
      <c r="E14" s="32" t="s">
        <v>155</v>
      </c>
      <c r="F14" s="32" t="s">
        <v>75</v>
      </c>
      <c r="G14" s="30" t="s">
        <v>113</v>
      </c>
      <c r="H14" s="32" t="s">
        <v>44</v>
      </c>
      <c r="I14" s="32" t="s">
        <v>156</v>
      </c>
      <c r="J14" s="30" t="s">
        <v>92</v>
      </c>
      <c r="K14" s="33">
        <v>7.1</v>
      </c>
      <c r="L14" s="34">
        <v>5195</v>
      </c>
      <c r="M14" s="35">
        <v>78260</v>
      </c>
      <c r="N14" s="30" t="s">
        <v>115</v>
      </c>
      <c r="O14" s="36" t="s">
        <v>116</v>
      </c>
      <c r="P14" s="30" t="s">
        <v>157</v>
      </c>
      <c r="Q14" s="30" t="s">
        <v>125</v>
      </c>
    </row>
    <row r="15" spans="1:17" ht="15" customHeight="1" x14ac:dyDescent="0.35">
      <c r="A15" s="37" t="s">
        <v>158</v>
      </c>
      <c r="B15" s="38">
        <v>46043</v>
      </c>
      <c r="C15" s="37" t="s">
        <v>35</v>
      </c>
      <c r="D15" s="37">
        <v>1</v>
      </c>
      <c r="E15" s="39" t="s">
        <v>159</v>
      </c>
      <c r="F15" s="39" t="s">
        <v>77</v>
      </c>
      <c r="G15" s="37" t="s">
        <v>113</v>
      </c>
      <c r="H15" s="39" t="s">
        <v>44</v>
      </c>
      <c r="I15" s="39" t="s">
        <v>160</v>
      </c>
      <c r="J15" s="37" t="s">
        <v>93</v>
      </c>
      <c r="K15" s="40">
        <v>1</v>
      </c>
      <c r="L15" s="41">
        <v>960</v>
      </c>
      <c r="M15" s="42">
        <v>8805</v>
      </c>
      <c r="N15" s="37" t="s">
        <v>122</v>
      </c>
      <c r="O15" s="49" t="s">
        <v>142</v>
      </c>
      <c r="P15" s="37" t="s">
        <v>161</v>
      </c>
      <c r="Q15" s="37" t="s">
        <v>130</v>
      </c>
    </row>
    <row r="16" spans="1:17" ht="15" customHeight="1" x14ac:dyDescent="0.35">
      <c r="A16" s="30" t="s">
        <v>162</v>
      </c>
      <c r="B16" s="31">
        <v>46047</v>
      </c>
      <c r="C16" s="30" t="s">
        <v>35</v>
      </c>
      <c r="D16" s="30">
        <v>1</v>
      </c>
      <c r="E16" s="32" t="s">
        <v>163</v>
      </c>
      <c r="F16" s="32" t="s">
        <v>75</v>
      </c>
      <c r="G16" s="30" t="s">
        <v>113</v>
      </c>
      <c r="H16" s="32" t="s">
        <v>33</v>
      </c>
      <c r="I16" s="32" t="s">
        <v>141</v>
      </c>
      <c r="J16" s="30" t="s">
        <v>94</v>
      </c>
      <c r="K16" s="33">
        <v>1</v>
      </c>
      <c r="L16" s="34">
        <v>809</v>
      </c>
      <c r="M16" s="35">
        <v>7652</v>
      </c>
      <c r="N16" s="30" t="s">
        <v>115</v>
      </c>
      <c r="O16" s="47" t="s">
        <v>142</v>
      </c>
      <c r="P16" s="30" t="s">
        <v>164</v>
      </c>
      <c r="Q16" s="30" t="s">
        <v>125</v>
      </c>
    </row>
    <row r="17" spans="1:17" ht="15" customHeight="1" x14ac:dyDescent="0.35">
      <c r="A17" s="37" t="s">
        <v>165</v>
      </c>
      <c r="B17" s="38">
        <v>46048</v>
      </c>
      <c r="C17" s="37" t="s">
        <v>35</v>
      </c>
      <c r="D17" s="37">
        <v>1</v>
      </c>
      <c r="E17" s="39" t="s">
        <v>155</v>
      </c>
      <c r="F17" s="39" t="s">
        <v>75</v>
      </c>
      <c r="G17" s="37" t="s">
        <v>113</v>
      </c>
      <c r="H17" s="39" t="s">
        <v>59</v>
      </c>
      <c r="I17" s="39" t="s">
        <v>166</v>
      </c>
      <c r="J17" s="37" t="s">
        <v>92</v>
      </c>
      <c r="K17" s="40">
        <v>4.7</v>
      </c>
      <c r="L17" s="41">
        <v>4881</v>
      </c>
      <c r="M17" s="42">
        <v>38625</v>
      </c>
      <c r="N17" s="37" t="s">
        <v>115</v>
      </c>
      <c r="O17" s="45" t="s">
        <v>128</v>
      </c>
      <c r="P17" s="37" t="s">
        <v>167</v>
      </c>
      <c r="Q17" s="37" t="s">
        <v>130</v>
      </c>
    </row>
    <row r="18" spans="1:17" ht="15" customHeight="1" x14ac:dyDescent="0.35">
      <c r="A18" s="30" t="s">
        <v>168</v>
      </c>
      <c r="B18" s="31">
        <v>46048</v>
      </c>
      <c r="C18" s="30" t="s">
        <v>35</v>
      </c>
      <c r="D18" s="30">
        <v>1</v>
      </c>
      <c r="E18" s="32" t="s">
        <v>169</v>
      </c>
      <c r="F18" s="32" t="s">
        <v>78</v>
      </c>
      <c r="G18" s="30" t="s">
        <v>113</v>
      </c>
      <c r="H18" s="32" t="s">
        <v>53</v>
      </c>
      <c r="I18" s="32" t="s">
        <v>156</v>
      </c>
      <c r="J18" s="30" t="s">
        <v>94</v>
      </c>
      <c r="K18" s="33">
        <v>1.6</v>
      </c>
      <c r="L18" s="34">
        <v>1256</v>
      </c>
      <c r="M18" s="35">
        <v>16014</v>
      </c>
      <c r="N18" s="30" t="s">
        <v>122</v>
      </c>
      <c r="O18" s="47" t="s">
        <v>142</v>
      </c>
      <c r="P18" s="30" t="s">
        <v>170</v>
      </c>
      <c r="Q18" s="30" t="s">
        <v>125</v>
      </c>
    </row>
    <row r="19" spans="1:17" ht="15" customHeight="1" x14ac:dyDescent="0.35">
      <c r="A19" s="37" t="s">
        <v>171</v>
      </c>
      <c r="B19" s="38">
        <v>46049</v>
      </c>
      <c r="C19" s="37" t="s">
        <v>35</v>
      </c>
      <c r="D19" s="37">
        <v>1</v>
      </c>
      <c r="E19" s="39" t="s">
        <v>172</v>
      </c>
      <c r="F19" s="39" t="s">
        <v>79</v>
      </c>
      <c r="G19" s="37" t="s">
        <v>173</v>
      </c>
      <c r="H19" s="39" t="s">
        <v>46</v>
      </c>
      <c r="I19" s="39" t="s">
        <v>174</v>
      </c>
      <c r="J19" s="37" t="s">
        <v>92</v>
      </c>
      <c r="K19" s="40">
        <v>1.9</v>
      </c>
      <c r="L19" s="41">
        <v>972</v>
      </c>
      <c r="M19" s="42">
        <v>16548</v>
      </c>
      <c r="N19" s="37" t="s">
        <v>122</v>
      </c>
      <c r="O19" s="49" t="s">
        <v>142</v>
      </c>
      <c r="P19" s="37" t="s">
        <v>175</v>
      </c>
      <c r="Q19" s="37" t="s">
        <v>130</v>
      </c>
    </row>
    <row r="20" spans="1:17" ht="15" customHeight="1" x14ac:dyDescent="0.35">
      <c r="A20" s="30" t="s">
        <v>176</v>
      </c>
      <c r="B20" s="31">
        <v>46049</v>
      </c>
      <c r="C20" s="30" t="s">
        <v>35</v>
      </c>
      <c r="D20" s="30">
        <v>1</v>
      </c>
      <c r="E20" s="32" t="s">
        <v>177</v>
      </c>
      <c r="F20" s="32" t="s">
        <v>80</v>
      </c>
      <c r="G20" s="30" t="s">
        <v>113</v>
      </c>
      <c r="H20" s="32" t="s">
        <v>46</v>
      </c>
      <c r="I20" s="32" t="s">
        <v>114</v>
      </c>
      <c r="J20" s="30" t="s">
        <v>92</v>
      </c>
      <c r="K20" s="33">
        <v>4.5999999999999996</v>
      </c>
      <c r="L20" s="34">
        <v>2541</v>
      </c>
      <c r="M20" s="35">
        <v>49616</v>
      </c>
      <c r="N20" s="30" t="s">
        <v>122</v>
      </c>
      <c r="O20" s="44" t="s">
        <v>128</v>
      </c>
      <c r="P20" s="30" t="s">
        <v>178</v>
      </c>
      <c r="Q20" s="30" t="s">
        <v>130</v>
      </c>
    </row>
    <row r="21" spans="1:17" ht="15" customHeight="1" x14ac:dyDescent="0.35">
      <c r="A21" s="37" t="s">
        <v>179</v>
      </c>
      <c r="B21" s="38">
        <v>46052</v>
      </c>
      <c r="C21" s="37" t="s">
        <v>35</v>
      </c>
      <c r="D21" s="37">
        <v>1</v>
      </c>
      <c r="E21" s="39" t="s">
        <v>120</v>
      </c>
      <c r="F21" s="39" t="s">
        <v>77</v>
      </c>
      <c r="G21" s="37" t="s">
        <v>113</v>
      </c>
      <c r="H21" s="39" t="s">
        <v>39</v>
      </c>
      <c r="I21" s="39" t="s">
        <v>141</v>
      </c>
      <c r="J21" s="37" t="s">
        <v>92</v>
      </c>
      <c r="K21" s="40">
        <v>3.8</v>
      </c>
      <c r="L21" s="41">
        <v>3803</v>
      </c>
      <c r="M21" s="42">
        <v>34222</v>
      </c>
      <c r="N21" s="37" t="s">
        <v>115</v>
      </c>
      <c r="O21" s="45" t="s">
        <v>128</v>
      </c>
      <c r="P21" s="37" t="s">
        <v>180</v>
      </c>
      <c r="Q21" s="37" t="s">
        <v>130</v>
      </c>
    </row>
    <row r="22" spans="1:17" ht="15" customHeight="1" x14ac:dyDescent="0.35">
      <c r="A22" s="30" t="s">
        <v>181</v>
      </c>
      <c r="B22" s="31">
        <v>46055</v>
      </c>
      <c r="C22" s="30" t="s">
        <v>38</v>
      </c>
      <c r="D22" s="30">
        <v>2</v>
      </c>
      <c r="E22" s="32" t="s">
        <v>182</v>
      </c>
      <c r="F22" s="32" t="s">
        <v>84</v>
      </c>
      <c r="G22" s="30" t="s">
        <v>113</v>
      </c>
      <c r="H22" s="32" t="s">
        <v>57</v>
      </c>
      <c r="I22" s="32" t="s">
        <v>132</v>
      </c>
      <c r="J22" s="30" t="s">
        <v>93</v>
      </c>
      <c r="K22" s="33">
        <v>1</v>
      </c>
      <c r="L22" s="34">
        <v>1190</v>
      </c>
      <c r="M22" s="35">
        <v>9367</v>
      </c>
      <c r="N22" s="30" t="s">
        <v>122</v>
      </c>
      <c r="O22" s="47" t="s">
        <v>142</v>
      </c>
      <c r="P22" s="30" t="s">
        <v>183</v>
      </c>
      <c r="Q22" s="30" t="s">
        <v>130</v>
      </c>
    </row>
    <row r="23" spans="1:17" ht="15" customHeight="1" x14ac:dyDescent="0.35">
      <c r="A23" s="37" t="s">
        <v>184</v>
      </c>
      <c r="B23" s="38">
        <v>46058</v>
      </c>
      <c r="C23" s="37" t="s">
        <v>38</v>
      </c>
      <c r="D23" s="37">
        <v>2</v>
      </c>
      <c r="E23" s="39" t="s">
        <v>135</v>
      </c>
      <c r="F23" s="39" t="s">
        <v>75</v>
      </c>
      <c r="G23" s="37" t="s">
        <v>113</v>
      </c>
      <c r="H23" s="39" t="s">
        <v>39</v>
      </c>
      <c r="I23" s="39" t="s">
        <v>146</v>
      </c>
      <c r="J23" s="37" t="s">
        <v>93</v>
      </c>
      <c r="K23" s="40">
        <v>5.4</v>
      </c>
      <c r="L23" s="41">
        <v>4162</v>
      </c>
      <c r="M23" s="42">
        <v>62627</v>
      </c>
      <c r="N23" s="37" t="s">
        <v>122</v>
      </c>
      <c r="O23" s="45" t="s">
        <v>128</v>
      </c>
      <c r="P23" s="37" t="s">
        <v>185</v>
      </c>
      <c r="Q23" s="37" t="s">
        <v>125</v>
      </c>
    </row>
    <row r="24" spans="1:17" ht="15" customHeight="1" x14ac:dyDescent="0.35">
      <c r="A24" s="30" t="s">
        <v>186</v>
      </c>
      <c r="B24" s="31">
        <v>46058</v>
      </c>
      <c r="C24" s="30" t="s">
        <v>38</v>
      </c>
      <c r="D24" s="30">
        <v>2</v>
      </c>
      <c r="E24" s="32" t="s">
        <v>187</v>
      </c>
      <c r="F24" s="32" t="s">
        <v>80</v>
      </c>
      <c r="G24" s="30" t="s">
        <v>113</v>
      </c>
      <c r="H24" s="32" t="s">
        <v>63</v>
      </c>
      <c r="I24" s="32" t="s">
        <v>114</v>
      </c>
      <c r="J24" s="30" t="s">
        <v>94</v>
      </c>
      <c r="K24" s="33">
        <v>0.9</v>
      </c>
      <c r="L24" s="34">
        <v>762</v>
      </c>
      <c r="M24" s="35">
        <v>9317</v>
      </c>
      <c r="N24" s="30" t="s">
        <v>115</v>
      </c>
      <c r="O24" s="47" t="s">
        <v>142</v>
      </c>
      <c r="P24" s="30" t="s">
        <v>188</v>
      </c>
      <c r="Q24" s="30" t="s">
        <v>125</v>
      </c>
    </row>
    <row r="25" spans="1:17" ht="15" customHeight="1" x14ac:dyDescent="0.35">
      <c r="A25" s="37" t="s">
        <v>189</v>
      </c>
      <c r="B25" s="38">
        <v>46059</v>
      </c>
      <c r="C25" s="37" t="s">
        <v>38</v>
      </c>
      <c r="D25" s="37">
        <v>2</v>
      </c>
      <c r="E25" s="39" t="s">
        <v>149</v>
      </c>
      <c r="F25" s="39" t="s">
        <v>75</v>
      </c>
      <c r="G25" s="37" t="s">
        <v>113</v>
      </c>
      <c r="H25" s="39" t="s">
        <v>42</v>
      </c>
      <c r="I25" s="39" t="s">
        <v>114</v>
      </c>
      <c r="J25" s="37" t="s">
        <v>92</v>
      </c>
      <c r="K25" s="40">
        <v>33.200000000000003</v>
      </c>
      <c r="L25" s="41">
        <v>21057</v>
      </c>
      <c r="M25" s="42">
        <v>257416</v>
      </c>
      <c r="N25" s="37" t="s">
        <v>115</v>
      </c>
      <c r="O25" s="43" t="s">
        <v>123</v>
      </c>
      <c r="P25" s="37" t="s">
        <v>190</v>
      </c>
      <c r="Q25" s="37" t="s">
        <v>118</v>
      </c>
    </row>
    <row r="26" spans="1:17" ht="15" customHeight="1" x14ac:dyDescent="0.35">
      <c r="A26" s="30" t="s">
        <v>191</v>
      </c>
      <c r="B26" s="31">
        <v>46059</v>
      </c>
      <c r="C26" s="30" t="s">
        <v>38</v>
      </c>
      <c r="D26" s="30">
        <v>2</v>
      </c>
      <c r="E26" s="32" t="s">
        <v>155</v>
      </c>
      <c r="F26" s="32" t="s">
        <v>75</v>
      </c>
      <c r="G26" s="30" t="s">
        <v>113</v>
      </c>
      <c r="H26" s="32" t="s">
        <v>57</v>
      </c>
      <c r="I26" s="32" t="s">
        <v>121</v>
      </c>
      <c r="J26" s="30" t="s">
        <v>94</v>
      </c>
      <c r="K26" s="33">
        <v>1.8</v>
      </c>
      <c r="L26" s="34">
        <v>1628</v>
      </c>
      <c r="M26" s="35">
        <v>19698</v>
      </c>
      <c r="N26" s="30" t="s">
        <v>122</v>
      </c>
      <c r="O26" s="47" t="s">
        <v>142</v>
      </c>
      <c r="P26" s="30" t="s">
        <v>192</v>
      </c>
      <c r="Q26" s="30" t="s">
        <v>130</v>
      </c>
    </row>
    <row r="27" spans="1:17" ht="15" customHeight="1" x14ac:dyDescent="0.35">
      <c r="A27" s="37" t="s">
        <v>193</v>
      </c>
      <c r="B27" s="38">
        <v>46059</v>
      </c>
      <c r="C27" s="37" t="s">
        <v>38</v>
      </c>
      <c r="D27" s="37">
        <v>2</v>
      </c>
      <c r="E27" s="39" t="s">
        <v>187</v>
      </c>
      <c r="F27" s="39" t="s">
        <v>80</v>
      </c>
      <c r="G27" s="37" t="s">
        <v>113</v>
      </c>
      <c r="H27" s="39" t="s">
        <v>49</v>
      </c>
      <c r="I27" s="39" t="s">
        <v>194</v>
      </c>
      <c r="J27" s="37" t="s">
        <v>94</v>
      </c>
      <c r="K27" s="40">
        <v>32.5</v>
      </c>
      <c r="L27" s="41">
        <v>33126</v>
      </c>
      <c r="M27" s="42">
        <v>319434</v>
      </c>
      <c r="N27" s="37" t="s">
        <v>122</v>
      </c>
      <c r="O27" s="43" t="s">
        <v>123</v>
      </c>
      <c r="P27" s="37" t="s">
        <v>195</v>
      </c>
      <c r="Q27" s="37" t="s">
        <v>118</v>
      </c>
    </row>
    <row r="28" spans="1:17" ht="15" customHeight="1" x14ac:dyDescent="0.35">
      <c r="A28" s="30" t="s">
        <v>196</v>
      </c>
      <c r="B28" s="31">
        <v>46060</v>
      </c>
      <c r="C28" s="30" t="s">
        <v>38</v>
      </c>
      <c r="D28" s="30">
        <v>2</v>
      </c>
      <c r="E28" s="32" t="s">
        <v>149</v>
      </c>
      <c r="F28" s="32" t="s">
        <v>75</v>
      </c>
      <c r="G28" s="30" t="s">
        <v>113</v>
      </c>
      <c r="H28" s="32" t="s">
        <v>42</v>
      </c>
      <c r="I28" s="32" t="s">
        <v>194</v>
      </c>
      <c r="J28" s="30" t="s">
        <v>94</v>
      </c>
      <c r="K28" s="33">
        <v>5.4</v>
      </c>
      <c r="L28" s="34">
        <v>3348</v>
      </c>
      <c r="M28" s="35">
        <v>56336</v>
      </c>
      <c r="N28" s="30" t="s">
        <v>122</v>
      </c>
      <c r="O28" s="44" t="s">
        <v>128</v>
      </c>
      <c r="P28" s="30" t="s">
        <v>197</v>
      </c>
      <c r="Q28" s="30" t="s">
        <v>130</v>
      </c>
    </row>
    <row r="29" spans="1:17" ht="15" customHeight="1" x14ac:dyDescent="0.35">
      <c r="A29" s="37" t="s">
        <v>198</v>
      </c>
      <c r="B29" s="38">
        <v>46061</v>
      </c>
      <c r="C29" s="37" t="s">
        <v>38</v>
      </c>
      <c r="D29" s="37">
        <v>2</v>
      </c>
      <c r="E29" s="39" t="s">
        <v>155</v>
      </c>
      <c r="F29" s="39" t="s">
        <v>75</v>
      </c>
      <c r="G29" s="37" t="s">
        <v>113</v>
      </c>
      <c r="H29" s="39" t="s">
        <v>37</v>
      </c>
      <c r="I29" s="39" t="s">
        <v>174</v>
      </c>
      <c r="J29" s="37" t="s">
        <v>94</v>
      </c>
      <c r="K29" s="40">
        <v>92.9</v>
      </c>
      <c r="L29" s="41">
        <v>98176</v>
      </c>
      <c r="M29" s="42">
        <v>961719</v>
      </c>
      <c r="N29" s="37" t="s">
        <v>115</v>
      </c>
      <c r="O29" s="43" t="s">
        <v>123</v>
      </c>
      <c r="P29" s="37" t="s">
        <v>199</v>
      </c>
      <c r="Q29" s="37" t="s">
        <v>118</v>
      </c>
    </row>
    <row r="30" spans="1:17" ht="15" customHeight="1" x14ac:dyDescent="0.35">
      <c r="A30" s="30" t="s">
        <v>200</v>
      </c>
      <c r="B30" s="31">
        <v>46063</v>
      </c>
      <c r="C30" s="30" t="s">
        <v>38</v>
      </c>
      <c r="D30" s="30">
        <v>2</v>
      </c>
      <c r="E30" s="32" t="s">
        <v>149</v>
      </c>
      <c r="F30" s="32" t="s">
        <v>75</v>
      </c>
      <c r="G30" s="30" t="s">
        <v>113</v>
      </c>
      <c r="H30" s="32" t="s">
        <v>49</v>
      </c>
      <c r="I30" s="32" t="s">
        <v>201</v>
      </c>
      <c r="J30" s="30" t="s">
        <v>93</v>
      </c>
      <c r="K30" s="33">
        <v>1.4</v>
      </c>
      <c r="L30" s="34">
        <v>1658</v>
      </c>
      <c r="M30" s="35">
        <v>13517</v>
      </c>
      <c r="N30" s="30" t="s">
        <v>122</v>
      </c>
      <c r="O30" s="47" t="s">
        <v>142</v>
      </c>
      <c r="P30" s="30" t="s">
        <v>202</v>
      </c>
      <c r="Q30" s="30" t="s">
        <v>118</v>
      </c>
    </row>
    <row r="31" spans="1:17" ht="15" customHeight="1" x14ac:dyDescent="0.35">
      <c r="A31" s="37" t="s">
        <v>203</v>
      </c>
      <c r="B31" s="38">
        <v>46064</v>
      </c>
      <c r="C31" s="37" t="s">
        <v>38</v>
      </c>
      <c r="D31" s="37">
        <v>2</v>
      </c>
      <c r="E31" s="39" t="s">
        <v>204</v>
      </c>
      <c r="F31" s="39" t="s">
        <v>79</v>
      </c>
      <c r="G31" s="37" t="s">
        <v>173</v>
      </c>
      <c r="H31" s="39" t="s">
        <v>57</v>
      </c>
      <c r="I31" s="39" t="s">
        <v>160</v>
      </c>
      <c r="J31" s="37" t="s">
        <v>93</v>
      </c>
      <c r="K31" s="40">
        <v>17.5</v>
      </c>
      <c r="L31" s="41">
        <v>11865</v>
      </c>
      <c r="M31" s="42">
        <v>177312</v>
      </c>
      <c r="N31" s="37" t="s">
        <v>122</v>
      </c>
      <c r="O31" s="43" t="s">
        <v>123</v>
      </c>
      <c r="P31" s="37" t="s">
        <v>205</v>
      </c>
      <c r="Q31" s="37" t="s">
        <v>118</v>
      </c>
    </row>
    <row r="32" spans="1:17" ht="15" customHeight="1" x14ac:dyDescent="0.35">
      <c r="A32" s="30" t="s">
        <v>206</v>
      </c>
      <c r="B32" s="31">
        <v>46065</v>
      </c>
      <c r="C32" s="30" t="s">
        <v>38</v>
      </c>
      <c r="D32" s="30">
        <v>2</v>
      </c>
      <c r="E32" s="32" t="s">
        <v>207</v>
      </c>
      <c r="F32" s="32" t="s">
        <v>81</v>
      </c>
      <c r="G32" s="30" t="s">
        <v>208</v>
      </c>
      <c r="H32" s="32" t="s">
        <v>61</v>
      </c>
      <c r="I32" s="32" t="s">
        <v>160</v>
      </c>
      <c r="J32" s="30" t="s">
        <v>92</v>
      </c>
      <c r="K32" s="33">
        <v>4.7</v>
      </c>
      <c r="L32" s="34">
        <v>2871</v>
      </c>
      <c r="M32" s="35">
        <v>39295</v>
      </c>
      <c r="N32" s="30" t="s">
        <v>122</v>
      </c>
      <c r="O32" s="44" t="s">
        <v>128</v>
      </c>
      <c r="P32" s="30" t="s">
        <v>209</v>
      </c>
      <c r="Q32" s="30" t="s">
        <v>139</v>
      </c>
    </row>
    <row r="33" spans="1:17" ht="15" customHeight="1" x14ac:dyDescent="0.35">
      <c r="A33" s="37" t="s">
        <v>210</v>
      </c>
      <c r="B33" s="38">
        <v>46066</v>
      </c>
      <c r="C33" s="37" t="s">
        <v>38</v>
      </c>
      <c r="D33" s="37">
        <v>2</v>
      </c>
      <c r="E33" s="39" t="s">
        <v>211</v>
      </c>
      <c r="F33" s="39" t="s">
        <v>78</v>
      </c>
      <c r="G33" s="37" t="s">
        <v>113</v>
      </c>
      <c r="H33" s="39" t="s">
        <v>44</v>
      </c>
      <c r="I33" s="39" t="s">
        <v>212</v>
      </c>
      <c r="J33" s="37" t="s">
        <v>93</v>
      </c>
      <c r="K33" s="40">
        <v>1.1000000000000001</v>
      </c>
      <c r="L33" s="41">
        <v>981</v>
      </c>
      <c r="M33" s="42">
        <v>8724</v>
      </c>
      <c r="N33" s="37" t="s">
        <v>122</v>
      </c>
      <c r="O33" s="49" t="s">
        <v>142</v>
      </c>
      <c r="P33" s="37" t="s">
        <v>213</v>
      </c>
      <c r="Q33" s="37" t="s">
        <v>139</v>
      </c>
    </row>
    <row r="34" spans="1:17" ht="15" customHeight="1" x14ac:dyDescent="0.35">
      <c r="A34" s="30" t="s">
        <v>214</v>
      </c>
      <c r="B34" s="31">
        <v>46066</v>
      </c>
      <c r="C34" s="30" t="s">
        <v>38</v>
      </c>
      <c r="D34" s="30">
        <v>2</v>
      </c>
      <c r="E34" s="32" t="s">
        <v>177</v>
      </c>
      <c r="F34" s="32" t="s">
        <v>80</v>
      </c>
      <c r="G34" s="30" t="s">
        <v>113</v>
      </c>
      <c r="H34" s="32" t="s">
        <v>46</v>
      </c>
      <c r="I34" s="32" t="s">
        <v>156</v>
      </c>
      <c r="J34" s="30" t="s">
        <v>94</v>
      </c>
      <c r="K34" s="33">
        <v>11.9</v>
      </c>
      <c r="L34" s="34">
        <v>8754</v>
      </c>
      <c r="M34" s="35">
        <v>121359</v>
      </c>
      <c r="N34" s="30" t="s">
        <v>122</v>
      </c>
      <c r="O34" s="36" t="s">
        <v>116</v>
      </c>
      <c r="P34" s="30" t="s">
        <v>215</v>
      </c>
      <c r="Q34" s="30" t="s">
        <v>118</v>
      </c>
    </row>
    <row r="35" spans="1:17" ht="15" customHeight="1" x14ac:dyDescent="0.35">
      <c r="A35" s="37" t="s">
        <v>216</v>
      </c>
      <c r="B35" s="38">
        <v>46069</v>
      </c>
      <c r="C35" s="37" t="s">
        <v>38</v>
      </c>
      <c r="D35" s="37">
        <v>2</v>
      </c>
      <c r="E35" s="39" t="s">
        <v>135</v>
      </c>
      <c r="F35" s="39" t="s">
        <v>75</v>
      </c>
      <c r="G35" s="37" t="s">
        <v>113</v>
      </c>
      <c r="H35" s="39" t="s">
        <v>51</v>
      </c>
      <c r="I35" s="39" t="s">
        <v>156</v>
      </c>
      <c r="J35" s="37" t="s">
        <v>92</v>
      </c>
      <c r="K35" s="40">
        <v>15.7</v>
      </c>
      <c r="L35" s="41">
        <v>12664</v>
      </c>
      <c r="M35" s="42">
        <v>123601</v>
      </c>
      <c r="N35" s="37" t="s">
        <v>122</v>
      </c>
      <c r="O35" s="46" t="s">
        <v>116</v>
      </c>
      <c r="P35" s="37" t="s">
        <v>217</v>
      </c>
      <c r="Q35" s="37" t="s">
        <v>125</v>
      </c>
    </row>
    <row r="36" spans="1:17" ht="15" customHeight="1" x14ac:dyDescent="0.35">
      <c r="A36" s="30" t="s">
        <v>218</v>
      </c>
      <c r="B36" s="31">
        <v>46069</v>
      </c>
      <c r="C36" s="30" t="s">
        <v>38</v>
      </c>
      <c r="D36" s="30">
        <v>2</v>
      </c>
      <c r="E36" s="32" t="s">
        <v>152</v>
      </c>
      <c r="F36" s="32" t="s">
        <v>78</v>
      </c>
      <c r="G36" s="30" t="s">
        <v>113</v>
      </c>
      <c r="H36" s="32" t="s">
        <v>57</v>
      </c>
      <c r="I36" s="32" t="s">
        <v>201</v>
      </c>
      <c r="J36" s="30" t="s">
        <v>92</v>
      </c>
      <c r="K36" s="33">
        <v>1.8</v>
      </c>
      <c r="L36" s="34">
        <v>1616</v>
      </c>
      <c r="M36" s="35">
        <v>20984</v>
      </c>
      <c r="N36" s="30" t="s">
        <v>122</v>
      </c>
      <c r="O36" s="47" t="s">
        <v>142</v>
      </c>
      <c r="P36" s="30" t="s">
        <v>219</v>
      </c>
      <c r="Q36" s="30" t="s">
        <v>118</v>
      </c>
    </row>
    <row r="37" spans="1:17" ht="15" customHeight="1" x14ac:dyDescent="0.35">
      <c r="A37" s="37" t="s">
        <v>220</v>
      </c>
      <c r="B37" s="38">
        <v>46071</v>
      </c>
      <c r="C37" s="37" t="s">
        <v>38</v>
      </c>
      <c r="D37" s="37">
        <v>2</v>
      </c>
      <c r="E37" s="39" t="s">
        <v>149</v>
      </c>
      <c r="F37" s="39" t="s">
        <v>75</v>
      </c>
      <c r="G37" s="37" t="s">
        <v>113</v>
      </c>
      <c r="H37" s="39" t="s">
        <v>49</v>
      </c>
      <c r="I37" s="39" t="s">
        <v>174</v>
      </c>
      <c r="J37" s="37" t="s">
        <v>92</v>
      </c>
      <c r="K37" s="40">
        <v>3.6</v>
      </c>
      <c r="L37" s="41">
        <v>2794</v>
      </c>
      <c r="M37" s="42">
        <v>40422</v>
      </c>
      <c r="N37" s="37" t="s">
        <v>122</v>
      </c>
      <c r="O37" s="45" t="s">
        <v>128</v>
      </c>
      <c r="P37" s="37" t="s">
        <v>221</v>
      </c>
      <c r="Q37" s="37" t="s">
        <v>125</v>
      </c>
    </row>
    <row r="38" spans="1:17" ht="15" customHeight="1" x14ac:dyDescent="0.35">
      <c r="A38" s="30" t="s">
        <v>222</v>
      </c>
      <c r="B38" s="31">
        <v>46071</v>
      </c>
      <c r="C38" s="30" t="s">
        <v>38</v>
      </c>
      <c r="D38" s="30">
        <v>2</v>
      </c>
      <c r="E38" s="32" t="s">
        <v>223</v>
      </c>
      <c r="F38" s="32" t="s">
        <v>81</v>
      </c>
      <c r="G38" s="30" t="s">
        <v>208</v>
      </c>
      <c r="H38" s="32" t="s">
        <v>44</v>
      </c>
      <c r="I38" s="32" t="s">
        <v>166</v>
      </c>
      <c r="J38" s="30" t="s">
        <v>92</v>
      </c>
      <c r="K38" s="33">
        <v>5.6</v>
      </c>
      <c r="L38" s="34">
        <v>6392</v>
      </c>
      <c r="M38" s="35">
        <v>66300</v>
      </c>
      <c r="N38" s="30" t="s">
        <v>115</v>
      </c>
      <c r="O38" s="44" t="s">
        <v>128</v>
      </c>
      <c r="P38" s="30" t="s">
        <v>224</v>
      </c>
      <c r="Q38" s="30" t="s">
        <v>130</v>
      </c>
    </row>
    <row r="39" spans="1:17" ht="15" customHeight="1" x14ac:dyDescent="0.35">
      <c r="A39" s="37" t="s">
        <v>225</v>
      </c>
      <c r="B39" s="38">
        <v>46072</v>
      </c>
      <c r="C39" s="37" t="s">
        <v>38</v>
      </c>
      <c r="D39" s="37">
        <v>2</v>
      </c>
      <c r="E39" s="39" t="s">
        <v>135</v>
      </c>
      <c r="F39" s="39" t="s">
        <v>75</v>
      </c>
      <c r="G39" s="37" t="s">
        <v>113</v>
      </c>
      <c r="H39" s="39" t="s">
        <v>51</v>
      </c>
      <c r="I39" s="39" t="s">
        <v>114</v>
      </c>
      <c r="J39" s="37" t="s">
        <v>93</v>
      </c>
      <c r="K39" s="40">
        <v>6.9</v>
      </c>
      <c r="L39" s="41">
        <v>6076</v>
      </c>
      <c r="M39" s="42">
        <v>68384</v>
      </c>
      <c r="N39" s="37" t="s">
        <v>122</v>
      </c>
      <c r="O39" s="46" t="s">
        <v>116</v>
      </c>
      <c r="P39" s="37" t="s">
        <v>226</v>
      </c>
      <c r="Q39" s="37" t="s">
        <v>125</v>
      </c>
    </row>
    <row r="40" spans="1:17" ht="15" customHeight="1" x14ac:dyDescent="0.35">
      <c r="A40" s="30" t="s">
        <v>227</v>
      </c>
      <c r="B40" s="31">
        <v>46072</v>
      </c>
      <c r="C40" s="30" t="s">
        <v>38</v>
      </c>
      <c r="D40" s="30">
        <v>2</v>
      </c>
      <c r="E40" s="32" t="s">
        <v>228</v>
      </c>
      <c r="F40" s="32" t="s">
        <v>78</v>
      </c>
      <c r="G40" s="30" t="s">
        <v>113</v>
      </c>
      <c r="H40" s="32" t="s">
        <v>37</v>
      </c>
      <c r="I40" s="32" t="s">
        <v>156</v>
      </c>
      <c r="J40" s="30" t="s">
        <v>94</v>
      </c>
      <c r="K40" s="33">
        <v>18.100000000000001</v>
      </c>
      <c r="L40" s="34">
        <v>15549</v>
      </c>
      <c r="M40" s="35">
        <v>199051</v>
      </c>
      <c r="N40" s="30" t="s">
        <v>122</v>
      </c>
      <c r="O40" s="48" t="s">
        <v>123</v>
      </c>
      <c r="P40" s="30" t="s">
        <v>229</v>
      </c>
      <c r="Q40" s="30" t="s">
        <v>125</v>
      </c>
    </row>
    <row r="41" spans="1:17" ht="15" customHeight="1" x14ac:dyDescent="0.35">
      <c r="A41" s="37" t="s">
        <v>230</v>
      </c>
      <c r="B41" s="38">
        <v>46075</v>
      </c>
      <c r="C41" s="37" t="s">
        <v>38</v>
      </c>
      <c r="D41" s="37">
        <v>2</v>
      </c>
      <c r="E41" s="39" t="s">
        <v>204</v>
      </c>
      <c r="F41" s="39" t="s">
        <v>79</v>
      </c>
      <c r="G41" s="37" t="s">
        <v>173</v>
      </c>
      <c r="H41" s="39" t="s">
        <v>46</v>
      </c>
      <c r="I41" s="39" t="s">
        <v>114</v>
      </c>
      <c r="J41" s="37" t="s">
        <v>92</v>
      </c>
      <c r="K41" s="40">
        <v>0.6</v>
      </c>
      <c r="L41" s="41">
        <v>347</v>
      </c>
      <c r="M41" s="42">
        <v>6479</v>
      </c>
      <c r="N41" s="37" t="s">
        <v>122</v>
      </c>
      <c r="O41" s="49" t="s">
        <v>142</v>
      </c>
      <c r="P41" s="37" t="s">
        <v>231</v>
      </c>
      <c r="Q41" s="37" t="s">
        <v>130</v>
      </c>
    </row>
    <row r="42" spans="1:17" ht="15" customHeight="1" x14ac:dyDescent="0.35">
      <c r="A42" s="30" t="s">
        <v>232</v>
      </c>
      <c r="B42" s="31">
        <v>46077</v>
      </c>
      <c r="C42" s="30" t="s">
        <v>38</v>
      </c>
      <c r="D42" s="30">
        <v>2</v>
      </c>
      <c r="E42" s="32" t="s">
        <v>223</v>
      </c>
      <c r="F42" s="32" t="s">
        <v>81</v>
      </c>
      <c r="G42" s="30" t="s">
        <v>208</v>
      </c>
      <c r="H42" s="32" t="s">
        <v>61</v>
      </c>
      <c r="I42" s="32" t="s">
        <v>160</v>
      </c>
      <c r="J42" s="30" t="s">
        <v>92</v>
      </c>
      <c r="K42" s="33">
        <v>0.7</v>
      </c>
      <c r="L42" s="34">
        <v>641</v>
      </c>
      <c r="M42" s="35">
        <v>7374</v>
      </c>
      <c r="N42" s="30" t="s">
        <v>122</v>
      </c>
      <c r="O42" s="47" t="s">
        <v>142</v>
      </c>
      <c r="P42" s="30" t="s">
        <v>233</v>
      </c>
      <c r="Q42" s="30" t="s">
        <v>139</v>
      </c>
    </row>
    <row r="43" spans="1:17" ht="15" customHeight="1" x14ac:dyDescent="0.35">
      <c r="A43" s="37" t="s">
        <v>234</v>
      </c>
      <c r="B43" s="38">
        <v>46077</v>
      </c>
      <c r="C43" s="37" t="s">
        <v>38</v>
      </c>
      <c r="D43" s="37">
        <v>2</v>
      </c>
      <c r="E43" s="39" t="s">
        <v>187</v>
      </c>
      <c r="F43" s="39" t="s">
        <v>80</v>
      </c>
      <c r="G43" s="37" t="s">
        <v>113</v>
      </c>
      <c r="H43" s="39" t="s">
        <v>53</v>
      </c>
      <c r="I43" s="39" t="s">
        <v>156</v>
      </c>
      <c r="J43" s="37" t="s">
        <v>94</v>
      </c>
      <c r="K43" s="40">
        <v>1.6</v>
      </c>
      <c r="L43" s="41">
        <v>1365</v>
      </c>
      <c r="M43" s="42">
        <v>11782</v>
      </c>
      <c r="N43" s="37" t="s">
        <v>122</v>
      </c>
      <c r="O43" s="49" t="s">
        <v>142</v>
      </c>
      <c r="P43" s="37" t="s">
        <v>235</v>
      </c>
      <c r="Q43" s="37" t="s">
        <v>125</v>
      </c>
    </row>
    <row r="44" spans="1:17" ht="15" customHeight="1" x14ac:dyDescent="0.35">
      <c r="A44" s="30" t="s">
        <v>236</v>
      </c>
      <c r="B44" s="31">
        <v>46077</v>
      </c>
      <c r="C44" s="30" t="s">
        <v>38</v>
      </c>
      <c r="D44" s="30">
        <v>2</v>
      </c>
      <c r="E44" s="32" t="s">
        <v>169</v>
      </c>
      <c r="F44" s="32" t="s">
        <v>78</v>
      </c>
      <c r="G44" s="30" t="s">
        <v>113</v>
      </c>
      <c r="H44" s="32" t="s">
        <v>63</v>
      </c>
      <c r="I44" s="32" t="s">
        <v>114</v>
      </c>
      <c r="J44" s="30" t="s">
        <v>92</v>
      </c>
      <c r="K44" s="33">
        <v>1.4</v>
      </c>
      <c r="L44" s="34">
        <v>1669</v>
      </c>
      <c r="M44" s="35">
        <v>13588</v>
      </c>
      <c r="N44" s="30" t="s">
        <v>122</v>
      </c>
      <c r="O44" s="47" t="s">
        <v>142</v>
      </c>
      <c r="P44" s="30" t="s">
        <v>237</v>
      </c>
      <c r="Q44" s="30" t="s">
        <v>118</v>
      </c>
    </row>
    <row r="45" spans="1:17" ht="15" customHeight="1" x14ac:dyDescent="0.35">
      <c r="A45" s="37" t="s">
        <v>238</v>
      </c>
      <c r="B45" s="38">
        <v>46077</v>
      </c>
      <c r="C45" s="37" t="s">
        <v>38</v>
      </c>
      <c r="D45" s="37">
        <v>2</v>
      </c>
      <c r="E45" s="39" t="s">
        <v>239</v>
      </c>
      <c r="F45" s="39" t="s">
        <v>83</v>
      </c>
      <c r="G45" s="37" t="s">
        <v>173</v>
      </c>
      <c r="H45" s="39" t="s">
        <v>49</v>
      </c>
      <c r="I45" s="39" t="s">
        <v>156</v>
      </c>
      <c r="J45" s="37" t="s">
        <v>94</v>
      </c>
      <c r="K45" s="40">
        <v>1.7</v>
      </c>
      <c r="L45" s="41">
        <v>1730</v>
      </c>
      <c r="M45" s="42">
        <v>16618</v>
      </c>
      <c r="N45" s="37" t="s">
        <v>122</v>
      </c>
      <c r="O45" s="49" t="s">
        <v>142</v>
      </c>
      <c r="P45" s="37" t="s">
        <v>240</v>
      </c>
      <c r="Q45" s="37" t="s">
        <v>118</v>
      </c>
    </row>
    <row r="46" spans="1:17" ht="15" customHeight="1" x14ac:dyDescent="0.35">
      <c r="A46" s="30" t="s">
        <v>241</v>
      </c>
      <c r="B46" s="31">
        <v>46078</v>
      </c>
      <c r="C46" s="30" t="s">
        <v>38</v>
      </c>
      <c r="D46" s="30">
        <v>2</v>
      </c>
      <c r="E46" s="32" t="s">
        <v>135</v>
      </c>
      <c r="F46" s="32" t="s">
        <v>75</v>
      </c>
      <c r="G46" s="30" t="s">
        <v>113</v>
      </c>
      <c r="H46" s="32" t="s">
        <v>33</v>
      </c>
      <c r="I46" s="32" t="s">
        <v>160</v>
      </c>
      <c r="J46" s="30" t="s">
        <v>92</v>
      </c>
      <c r="K46" s="33">
        <v>14</v>
      </c>
      <c r="L46" s="34">
        <v>8133</v>
      </c>
      <c r="M46" s="35">
        <v>111952</v>
      </c>
      <c r="N46" s="30" t="s">
        <v>122</v>
      </c>
      <c r="O46" s="36" t="s">
        <v>116</v>
      </c>
      <c r="P46" s="30" t="s">
        <v>242</v>
      </c>
      <c r="Q46" s="30" t="s">
        <v>118</v>
      </c>
    </row>
    <row r="47" spans="1:17" ht="15" customHeight="1" x14ac:dyDescent="0.35">
      <c r="A47" s="37" t="s">
        <v>243</v>
      </c>
      <c r="B47" s="38">
        <v>46078</v>
      </c>
      <c r="C47" s="37" t="s">
        <v>38</v>
      </c>
      <c r="D47" s="37">
        <v>2</v>
      </c>
      <c r="E47" s="39" t="s">
        <v>182</v>
      </c>
      <c r="F47" s="39" t="s">
        <v>84</v>
      </c>
      <c r="G47" s="37" t="s">
        <v>113</v>
      </c>
      <c r="H47" s="39" t="s">
        <v>53</v>
      </c>
      <c r="I47" s="39" t="s">
        <v>201</v>
      </c>
      <c r="J47" s="37" t="s">
        <v>94</v>
      </c>
      <c r="K47" s="40">
        <v>15.4</v>
      </c>
      <c r="L47" s="41">
        <v>17196</v>
      </c>
      <c r="M47" s="42">
        <v>150792</v>
      </c>
      <c r="N47" s="37" t="s">
        <v>115</v>
      </c>
      <c r="O47" s="46" t="s">
        <v>116</v>
      </c>
      <c r="P47" s="37" t="s">
        <v>244</v>
      </c>
      <c r="Q47" s="37" t="s">
        <v>125</v>
      </c>
    </row>
    <row r="48" spans="1:17" ht="15" customHeight="1" x14ac:dyDescent="0.35">
      <c r="A48" s="30" t="s">
        <v>245</v>
      </c>
      <c r="B48" s="31">
        <v>46081</v>
      </c>
      <c r="C48" s="30" t="s">
        <v>38</v>
      </c>
      <c r="D48" s="30">
        <v>2</v>
      </c>
      <c r="E48" s="32" t="s">
        <v>239</v>
      </c>
      <c r="F48" s="32" t="s">
        <v>83</v>
      </c>
      <c r="G48" s="30" t="s">
        <v>173</v>
      </c>
      <c r="H48" s="32" t="s">
        <v>53</v>
      </c>
      <c r="I48" s="32" t="s">
        <v>212</v>
      </c>
      <c r="J48" s="30" t="s">
        <v>92</v>
      </c>
      <c r="K48" s="33">
        <v>6.1</v>
      </c>
      <c r="L48" s="34">
        <v>6304</v>
      </c>
      <c r="M48" s="35">
        <v>53319</v>
      </c>
      <c r="N48" s="30" t="s">
        <v>122</v>
      </c>
      <c r="O48" s="36" t="s">
        <v>116</v>
      </c>
      <c r="P48" s="30" t="s">
        <v>246</v>
      </c>
      <c r="Q48" s="30" t="s">
        <v>118</v>
      </c>
    </row>
    <row r="49" spans="1:17" ht="15" customHeight="1" x14ac:dyDescent="0.35">
      <c r="A49" s="37" t="s">
        <v>247</v>
      </c>
      <c r="B49" s="38">
        <v>46081</v>
      </c>
      <c r="C49" s="37" t="s">
        <v>38</v>
      </c>
      <c r="D49" s="37">
        <v>2</v>
      </c>
      <c r="E49" s="39" t="s">
        <v>248</v>
      </c>
      <c r="F49" s="39" t="s">
        <v>79</v>
      </c>
      <c r="G49" s="37" t="s">
        <v>173</v>
      </c>
      <c r="H49" s="39" t="s">
        <v>53</v>
      </c>
      <c r="I49" s="39" t="s">
        <v>132</v>
      </c>
      <c r="J49" s="37" t="s">
        <v>93</v>
      </c>
      <c r="K49" s="40">
        <v>2.4</v>
      </c>
      <c r="L49" s="41">
        <v>2013</v>
      </c>
      <c r="M49" s="42">
        <v>25269</v>
      </c>
      <c r="N49" s="37" t="s">
        <v>122</v>
      </c>
      <c r="O49" s="45" t="s">
        <v>128</v>
      </c>
      <c r="P49" s="37" t="s">
        <v>249</v>
      </c>
      <c r="Q49" s="37" t="s">
        <v>118</v>
      </c>
    </row>
    <row r="50" spans="1:17" ht="15" customHeight="1" x14ac:dyDescent="0.35">
      <c r="A50" s="30" t="s">
        <v>250</v>
      </c>
      <c r="B50" s="31">
        <v>46085</v>
      </c>
      <c r="C50" s="30" t="s">
        <v>40</v>
      </c>
      <c r="D50" s="30">
        <v>3</v>
      </c>
      <c r="E50" s="32" t="s">
        <v>172</v>
      </c>
      <c r="F50" s="32" t="s">
        <v>79</v>
      </c>
      <c r="G50" s="30" t="s">
        <v>173</v>
      </c>
      <c r="H50" s="32" t="s">
        <v>55</v>
      </c>
      <c r="I50" s="32" t="s">
        <v>156</v>
      </c>
      <c r="J50" s="30" t="s">
        <v>93</v>
      </c>
      <c r="K50" s="33">
        <v>0.9</v>
      </c>
      <c r="L50" s="34">
        <v>465</v>
      </c>
      <c r="M50" s="35">
        <v>10454</v>
      </c>
      <c r="N50" s="30" t="s">
        <v>115</v>
      </c>
      <c r="O50" s="47" t="s">
        <v>142</v>
      </c>
      <c r="P50" s="30" t="s">
        <v>251</v>
      </c>
      <c r="Q50" s="30" t="s">
        <v>130</v>
      </c>
    </row>
    <row r="51" spans="1:17" ht="15" customHeight="1" x14ac:dyDescent="0.35">
      <c r="A51" s="37" t="s">
        <v>252</v>
      </c>
      <c r="B51" s="38">
        <v>46091</v>
      </c>
      <c r="C51" s="37" t="s">
        <v>40</v>
      </c>
      <c r="D51" s="37">
        <v>3</v>
      </c>
      <c r="E51" s="39" t="s">
        <v>155</v>
      </c>
      <c r="F51" s="39" t="s">
        <v>75</v>
      </c>
      <c r="G51" s="37" t="s">
        <v>113</v>
      </c>
      <c r="H51" s="39" t="s">
        <v>44</v>
      </c>
      <c r="I51" s="39" t="s">
        <v>146</v>
      </c>
      <c r="J51" s="37" t="s">
        <v>92</v>
      </c>
      <c r="K51" s="40">
        <v>0.7</v>
      </c>
      <c r="L51" s="41">
        <v>520</v>
      </c>
      <c r="M51" s="42">
        <v>6319</v>
      </c>
      <c r="N51" s="37" t="s">
        <v>122</v>
      </c>
      <c r="O51" s="49" t="s">
        <v>142</v>
      </c>
      <c r="P51" s="37" t="s">
        <v>253</v>
      </c>
      <c r="Q51" s="37" t="s">
        <v>139</v>
      </c>
    </row>
    <row r="52" spans="1:17" ht="15" customHeight="1" x14ac:dyDescent="0.35">
      <c r="A52" s="30" t="s">
        <v>254</v>
      </c>
      <c r="B52" s="31">
        <v>46093</v>
      </c>
      <c r="C52" s="30" t="s">
        <v>40</v>
      </c>
      <c r="D52" s="30">
        <v>3</v>
      </c>
      <c r="E52" s="32" t="s">
        <v>169</v>
      </c>
      <c r="F52" s="32" t="s">
        <v>78</v>
      </c>
      <c r="G52" s="30" t="s">
        <v>113</v>
      </c>
      <c r="H52" s="32" t="s">
        <v>57</v>
      </c>
      <c r="I52" s="32" t="s">
        <v>212</v>
      </c>
      <c r="J52" s="30" t="s">
        <v>94</v>
      </c>
      <c r="K52" s="33">
        <v>6.6</v>
      </c>
      <c r="L52" s="34">
        <v>5441</v>
      </c>
      <c r="M52" s="35">
        <v>58838</v>
      </c>
      <c r="N52" s="30" t="s">
        <v>115</v>
      </c>
      <c r="O52" s="36" t="s">
        <v>116</v>
      </c>
      <c r="P52" s="30" t="s">
        <v>255</v>
      </c>
      <c r="Q52" s="30" t="s">
        <v>139</v>
      </c>
    </row>
    <row r="53" spans="1:17" ht="15" customHeight="1" x14ac:dyDescent="0.35">
      <c r="A53" s="37" t="s">
        <v>256</v>
      </c>
      <c r="B53" s="38">
        <v>46093</v>
      </c>
      <c r="C53" s="37" t="s">
        <v>40</v>
      </c>
      <c r="D53" s="37">
        <v>3</v>
      </c>
      <c r="E53" s="39" t="s">
        <v>177</v>
      </c>
      <c r="F53" s="39" t="s">
        <v>80</v>
      </c>
      <c r="G53" s="37" t="s">
        <v>113</v>
      </c>
      <c r="H53" s="39" t="s">
        <v>51</v>
      </c>
      <c r="I53" s="39" t="s">
        <v>174</v>
      </c>
      <c r="J53" s="37" t="s">
        <v>92</v>
      </c>
      <c r="K53" s="40">
        <v>3.7</v>
      </c>
      <c r="L53" s="41">
        <v>3469</v>
      </c>
      <c r="M53" s="42">
        <v>38550</v>
      </c>
      <c r="N53" s="37" t="s">
        <v>122</v>
      </c>
      <c r="O53" s="45" t="s">
        <v>128</v>
      </c>
      <c r="P53" s="37" t="s">
        <v>257</v>
      </c>
      <c r="Q53" s="37" t="s">
        <v>130</v>
      </c>
    </row>
    <row r="54" spans="1:17" ht="15" customHeight="1" x14ac:dyDescent="0.35">
      <c r="A54" s="30" t="s">
        <v>258</v>
      </c>
      <c r="B54" s="31">
        <v>46096</v>
      </c>
      <c r="C54" s="30" t="s">
        <v>40</v>
      </c>
      <c r="D54" s="30">
        <v>3</v>
      </c>
      <c r="E54" s="32" t="s">
        <v>159</v>
      </c>
      <c r="F54" s="32" t="s">
        <v>77</v>
      </c>
      <c r="G54" s="30" t="s">
        <v>113</v>
      </c>
      <c r="H54" s="32" t="s">
        <v>33</v>
      </c>
      <c r="I54" s="32" t="s">
        <v>146</v>
      </c>
      <c r="J54" s="30" t="s">
        <v>94</v>
      </c>
      <c r="K54" s="33">
        <v>3.4</v>
      </c>
      <c r="L54" s="34">
        <v>4051</v>
      </c>
      <c r="M54" s="35">
        <v>29803</v>
      </c>
      <c r="N54" s="30" t="s">
        <v>122</v>
      </c>
      <c r="O54" s="44" t="s">
        <v>128</v>
      </c>
      <c r="P54" s="30" t="s">
        <v>259</v>
      </c>
      <c r="Q54" s="30" t="s">
        <v>139</v>
      </c>
    </row>
    <row r="55" spans="1:17" ht="15" customHeight="1" x14ac:dyDescent="0.35">
      <c r="A55" s="37" t="s">
        <v>260</v>
      </c>
      <c r="B55" s="38">
        <v>46096</v>
      </c>
      <c r="C55" s="37" t="s">
        <v>40</v>
      </c>
      <c r="D55" s="37">
        <v>3</v>
      </c>
      <c r="E55" s="39" t="s">
        <v>149</v>
      </c>
      <c r="F55" s="39" t="s">
        <v>75</v>
      </c>
      <c r="G55" s="37" t="s">
        <v>113</v>
      </c>
      <c r="H55" s="39" t="s">
        <v>53</v>
      </c>
      <c r="I55" s="39" t="s">
        <v>194</v>
      </c>
      <c r="J55" s="37" t="s">
        <v>94</v>
      </c>
      <c r="K55" s="40">
        <v>1.8</v>
      </c>
      <c r="L55" s="41">
        <v>1399</v>
      </c>
      <c r="M55" s="42">
        <v>16386</v>
      </c>
      <c r="N55" s="37" t="s">
        <v>122</v>
      </c>
      <c r="O55" s="49" t="s">
        <v>142</v>
      </c>
      <c r="P55" s="37" t="s">
        <v>261</v>
      </c>
      <c r="Q55" s="37" t="s">
        <v>130</v>
      </c>
    </row>
    <row r="56" spans="1:17" ht="15" customHeight="1" x14ac:dyDescent="0.35">
      <c r="A56" s="30" t="s">
        <v>262</v>
      </c>
      <c r="B56" s="31">
        <v>46098</v>
      </c>
      <c r="C56" s="30" t="s">
        <v>40</v>
      </c>
      <c r="D56" s="30">
        <v>3</v>
      </c>
      <c r="E56" s="32" t="s">
        <v>112</v>
      </c>
      <c r="F56" s="32" t="s">
        <v>77</v>
      </c>
      <c r="G56" s="30" t="s">
        <v>113</v>
      </c>
      <c r="H56" s="32" t="s">
        <v>33</v>
      </c>
      <c r="I56" s="32" t="s">
        <v>160</v>
      </c>
      <c r="J56" s="30" t="s">
        <v>93</v>
      </c>
      <c r="K56" s="33">
        <v>28.9</v>
      </c>
      <c r="L56" s="34">
        <v>17482</v>
      </c>
      <c r="M56" s="35">
        <v>226898</v>
      </c>
      <c r="N56" s="30" t="s">
        <v>122</v>
      </c>
      <c r="O56" s="48" t="s">
        <v>123</v>
      </c>
      <c r="P56" s="30" t="s">
        <v>263</v>
      </c>
      <c r="Q56" s="30" t="s">
        <v>130</v>
      </c>
    </row>
    <row r="57" spans="1:17" ht="15" customHeight="1" x14ac:dyDescent="0.35">
      <c r="A57" s="37" t="s">
        <v>264</v>
      </c>
      <c r="B57" s="38">
        <v>46100</v>
      </c>
      <c r="C57" s="37" t="s">
        <v>40</v>
      </c>
      <c r="D57" s="37">
        <v>3</v>
      </c>
      <c r="E57" s="39" t="s">
        <v>204</v>
      </c>
      <c r="F57" s="39" t="s">
        <v>79</v>
      </c>
      <c r="G57" s="37" t="s">
        <v>173</v>
      </c>
      <c r="H57" s="39" t="s">
        <v>33</v>
      </c>
      <c r="I57" s="39" t="s">
        <v>212</v>
      </c>
      <c r="J57" s="37" t="s">
        <v>92</v>
      </c>
      <c r="K57" s="40">
        <v>4.7</v>
      </c>
      <c r="L57" s="41">
        <v>2544</v>
      </c>
      <c r="M57" s="42">
        <v>39028</v>
      </c>
      <c r="N57" s="37" t="s">
        <v>122</v>
      </c>
      <c r="O57" s="45" t="s">
        <v>128</v>
      </c>
      <c r="P57" s="37" t="s">
        <v>265</v>
      </c>
      <c r="Q57" s="37" t="s">
        <v>130</v>
      </c>
    </row>
    <row r="58" spans="1:17" ht="15" customHeight="1" x14ac:dyDescent="0.35">
      <c r="A58" s="30" t="s">
        <v>266</v>
      </c>
      <c r="B58" s="31">
        <v>46106</v>
      </c>
      <c r="C58" s="30" t="s">
        <v>40</v>
      </c>
      <c r="D58" s="30">
        <v>3</v>
      </c>
      <c r="E58" s="32" t="s">
        <v>145</v>
      </c>
      <c r="F58" s="32" t="s">
        <v>84</v>
      </c>
      <c r="G58" s="30" t="s">
        <v>113</v>
      </c>
      <c r="H58" s="32" t="s">
        <v>37</v>
      </c>
      <c r="I58" s="32" t="s">
        <v>156</v>
      </c>
      <c r="J58" s="30" t="s">
        <v>94</v>
      </c>
      <c r="K58" s="33">
        <v>1.6</v>
      </c>
      <c r="L58" s="34">
        <v>1561</v>
      </c>
      <c r="M58" s="35">
        <v>13069</v>
      </c>
      <c r="N58" s="30" t="s">
        <v>122</v>
      </c>
      <c r="O58" s="47" t="s">
        <v>142</v>
      </c>
      <c r="P58" s="30" t="s">
        <v>267</v>
      </c>
      <c r="Q58" s="30" t="s">
        <v>125</v>
      </c>
    </row>
    <row r="59" spans="1:17" ht="15" customHeight="1" x14ac:dyDescent="0.35">
      <c r="A59" s="37" t="s">
        <v>268</v>
      </c>
      <c r="B59" s="38">
        <v>46107</v>
      </c>
      <c r="C59" s="37" t="s">
        <v>40</v>
      </c>
      <c r="D59" s="37">
        <v>3</v>
      </c>
      <c r="E59" s="39" t="s">
        <v>149</v>
      </c>
      <c r="F59" s="39" t="s">
        <v>75</v>
      </c>
      <c r="G59" s="37" t="s">
        <v>113</v>
      </c>
      <c r="H59" s="39" t="s">
        <v>49</v>
      </c>
      <c r="I59" s="39" t="s">
        <v>141</v>
      </c>
      <c r="J59" s="37" t="s">
        <v>94</v>
      </c>
      <c r="K59" s="40">
        <v>1.9</v>
      </c>
      <c r="L59" s="41">
        <v>1869</v>
      </c>
      <c r="M59" s="42">
        <v>15651</v>
      </c>
      <c r="N59" s="37" t="s">
        <v>122</v>
      </c>
      <c r="O59" s="49" t="s">
        <v>142</v>
      </c>
      <c r="P59" s="37" t="s">
        <v>269</v>
      </c>
      <c r="Q59" s="37" t="s">
        <v>125</v>
      </c>
    </row>
    <row r="60" spans="1:17" ht="15" customHeight="1" x14ac:dyDescent="0.35">
      <c r="A60" s="30" t="s">
        <v>270</v>
      </c>
      <c r="B60" s="31">
        <v>46107</v>
      </c>
      <c r="C60" s="30" t="s">
        <v>40</v>
      </c>
      <c r="D60" s="30">
        <v>3</v>
      </c>
      <c r="E60" s="32" t="s">
        <v>135</v>
      </c>
      <c r="F60" s="32" t="s">
        <v>75</v>
      </c>
      <c r="G60" s="30" t="s">
        <v>113</v>
      </c>
      <c r="H60" s="32" t="s">
        <v>42</v>
      </c>
      <c r="I60" s="32" t="s">
        <v>146</v>
      </c>
      <c r="J60" s="30" t="s">
        <v>94</v>
      </c>
      <c r="K60" s="33">
        <v>4.4000000000000004</v>
      </c>
      <c r="L60" s="34">
        <v>4483</v>
      </c>
      <c r="M60" s="35">
        <v>50576</v>
      </c>
      <c r="N60" s="30" t="s">
        <v>122</v>
      </c>
      <c r="O60" s="44" t="s">
        <v>128</v>
      </c>
      <c r="P60" s="30" t="s">
        <v>271</v>
      </c>
      <c r="Q60" s="30" t="s">
        <v>130</v>
      </c>
    </row>
    <row r="61" spans="1:17" ht="15" customHeight="1" x14ac:dyDescent="0.35">
      <c r="A61" s="37" t="s">
        <v>272</v>
      </c>
      <c r="B61" s="38">
        <v>46112</v>
      </c>
      <c r="C61" s="37" t="s">
        <v>40</v>
      </c>
      <c r="D61" s="37">
        <v>3</v>
      </c>
      <c r="E61" s="39" t="s">
        <v>248</v>
      </c>
      <c r="F61" s="39" t="s">
        <v>79</v>
      </c>
      <c r="G61" s="37" t="s">
        <v>173</v>
      </c>
      <c r="H61" s="39" t="s">
        <v>51</v>
      </c>
      <c r="I61" s="39" t="s">
        <v>194</v>
      </c>
      <c r="J61" s="37" t="s">
        <v>93</v>
      </c>
      <c r="K61" s="40">
        <v>15.4</v>
      </c>
      <c r="L61" s="41">
        <v>18449</v>
      </c>
      <c r="M61" s="42">
        <v>138765</v>
      </c>
      <c r="N61" s="37" t="s">
        <v>122</v>
      </c>
      <c r="O61" s="46" t="s">
        <v>116</v>
      </c>
      <c r="P61" s="37" t="s">
        <v>273</v>
      </c>
      <c r="Q61" s="37" t="s">
        <v>139</v>
      </c>
    </row>
    <row r="62" spans="1:17" ht="15" customHeight="1" x14ac:dyDescent="0.35">
      <c r="A62" s="30" t="s">
        <v>274</v>
      </c>
      <c r="B62" s="31">
        <v>46113</v>
      </c>
      <c r="C62" s="30" t="s">
        <v>43</v>
      </c>
      <c r="D62" s="30">
        <v>4</v>
      </c>
      <c r="E62" s="32" t="s">
        <v>275</v>
      </c>
      <c r="F62" s="32" t="s">
        <v>81</v>
      </c>
      <c r="G62" s="30" t="s">
        <v>208</v>
      </c>
      <c r="H62" s="32" t="s">
        <v>61</v>
      </c>
      <c r="I62" s="32" t="s">
        <v>132</v>
      </c>
      <c r="J62" s="30" t="s">
        <v>94</v>
      </c>
      <c r="K62" s="33">
        <v>0.7</v>
      </c>
      <c r="L62" s="34">
        <v>802</v>
      </c>
      <c r="M62" s="35">
        <v>7589</v>
      </c>
      <c r="N62" s="30" t="s">
        <v>122</v>
      </c>
      <c r="O62" s="47" t="s">
        <v>142</v>
      </c>
      <c r="P62" s="30" t="s">
        <v>276</v>
      </c>
      <c r="Q62" s="30" t="s">
        <v>130</v>
      </c>
    </row>
    <row r="63" spans="1:17" ht="15" customHeight="1" x14ac:dyDescent="0.35">
      <c r="A63" s="37" t="s">
        <v>277</v>
      </c>
      <c r="B63" s="38">
        <v>46121</v>
      </c>
      <c r="C63" s="37" t="s">
        <v>43</v>
      </c>
      <c r="D63" s="37">
        <v>4</v>
      </c>
      <c r="E63" s="39" t="s">
        <v>127</v>
      </c>
      <c r="F63" s="39" t="s">
        <v>80</v>
      </c>
      <c r="G63" s="37" t="s">
        <v>113</v>
      </c>
      <c r="H63" s="39" t="s">
        <v>46</v>
      </c>
      <c r="I63" s="39" t="s">
        <v>201</v>
      </c>
      <c r="J63" s="37" t="s">
        <v>94</v>
      </c>
      <c r="K63" s="40">
        <v>29.8</v>
      </c>
      <c r="L63" s="41">
        <v>26954</v>
      </c>
      <c r="M63" s="42">
        <v>319932</v>
      </c>
      <c r="N63" s="37" t="s">
        <v>122</v>
      </c>
      <c r="O63" s="43" t="s">
        <v>123</v>
      </c>
      <c r="P63" s="37" t="s">
        <v>278</v>
      </c>
      <c r="Q63" s="37" t="s">
        <v>130</v>
      </c>
    </row>
    <row r="64" spans="1:17" ht="15" customHeight="1" x14ac:dyDescent="0.35">
      <c r="A64" s="30" t="s">
        <v>279</v>
      </c>
      <c r="B64" s="31">
        <v>46124</v>
      </c>
      <c r="C64" s="30" t="s">
        <v>43</v>
      </c>
      <c r="D64" s="30">
        <v>4</v>
      </c>
      <c r="E64" s="32" t="s">
        <v>149</v>
      </c>
      <c r="F64" s="32" t="s">
        <v>75</v>
      </c>
      <c r="G64" s="30" t="s">
        <v>113</v>
      </c>
      <c r="H64" s="32" t="s">
        <v>57</v>
      </c>
      <c r="I64" s="32" t="s">
        <v>146</v>
      </c>
      <c r="J64" s="30" t="s">
        <v>92</v>
      </c>
      <c r="K64" s="33">
        <v>2.1</v>
      </c>
      <c r="L64" s="34">
        <v>1341</v>
      </c>
      <c r="M64" s="35">
        <v>20840</v>
      </c>
      <c r="N64" s="30" t="s">
        <v>115</v>
      </c>
      <c r="O64" s="44" t="s">
        <v>128</v>
      </c>
      <c r="P64" s="30" t="s">
        <v>280</v>
      </c>
      <c r="Q64" s="30" t="s">
        <v>130</v>
      </c>
    </row>
    <row r="65" spans="1:17" ht="15" customHeight="1" x14ac:dyDescent="0.35">
      <c r="A65" s="37" t="s">
        <v>281</v>
      </c>
      <c r="B65" s="38">
        <v>46125</v>
      </c>
      <c r="C65" s="37" t="s">
        <v>43</v>
      </c>
      <c r="D65" s="37">
        <v>4</v>
      </c>
      <c r="E65" s="39" t="s">
        <v>228</v>
      </c>
      <c r="F65" s="39" t="s">
        <v>78</v>
      </c>
      <c r="G65" s="37" t="s">
        <v>113</v>
      </c>
      <c r="H65" s="39" t="s">
        <v>53</v>
      </c>
      <c r="I65" s="39" t="s">
        <v>156</v>
      </c>
      <c r="J65" s="37" t="s">
        <v>92</v>
      </c>
      <c r="K65" s="40">
        <v>2.5</v>
      </c>
      <c r="L65" s="41">
        <v>1247</v>
      </c>
      <c r="M65" s="42">
        <v>24392</v>
      </c>
      <c r="N65" s="37" t="s">
        <v>122</v>
      </c>
      <c r="O65" s="45" t="s">
        <v>128</v>
      </c>
      <c r="P65" s="37" t="s">
        <v>282</v>
      </c>
      <c r="Q65" s="37" t="s">
        <v>130</v>
      </c>
    </row>
    <row r="66" spans="1:17" ht="15" customHeight="1" x14ac:dyDescent="0.35">
      <c r="A66" s="30" t="s">
        <v>283</v>
      </c>
      <c r="B66" s="31">
        <v>46126</v>
      </c>
      <c r="C66" s="30" t="s">
        <v>43</v>
      </c>
      <c r="D66" s="30">
        <v>4</v>
      </c>
      <c r="E66" s="32" t="s">
        <v>120</v>
      </c>
      <c r="F66" s="32" t="s">
        <v>77</v>
      </c>
      <c r="G66" s="30" t="s">
        <v>113</v>
      </c>
      <c r="H66" s="32" t="s">
        <v>64</v>
      </c>
      <c r="I66" s="32" t="s">
        <v>194</v>
      </c>
      <c r="J66" s="30" t="s">
        <v>94</v>
      </c>
      <c r="K66" s="33">
        <v>1.9</v>
      </c>
      <c r="L66" s="34">
        <v>1325</v>
      </c>
      <c r="M66" s="35">
        <v>21429</v>
      </c>
      <c r="N66" s="30" t="s">
        <v>115</v>
      </c>
      <c r="O66" s="47" t="s">
        <v>142</v>
      </c>
      <c r="P66" s="30" t="s">
        <v>284</v>
      </c>
      <c r="Q66" s="30" t="s">
        <v>139</v>
      </c>
    </row>
    <row r="67" spans="1:17" ht="15" customHeight="1" x14ac:dyDescent="0.35">
      <c r="A67" s="37" t="s">
        <v>285</v>
      </c>
      <c r="B67" s="38">
        <v>46128</v>
      </c>
      <c r="C67" s="37" t="s">
        <v>43</v>
      </c>
      <c r="D67" s="37">
        <v>4</v>
      </c>
      <c r="E67" s="39" t="s">
        <v>159</v>
      </c>
      <c r="F67" s="39" t="s">
        <v>77</v>
      </c>
      <c r="G67" s="37" t="s">
        <v>113</v>
      </c>
      <c r="H67" s="39" t="s">
        <v>53</v>
      </c>
      <c r="I67" s="39" t="s">
        <v>174</v>
      </c>
      <c r="J67" s="37" t="s">
        <v>94</v>
      </c>
      <c r="K67" s="40">
        <v>3.7</v>
      </c>
      <c r="L67" s="41">
        <v>4296</v>
      </c>
      <c r="M67" s="42">
        <v>26706</v>
      </c>
      <c r="N67" s="37" t="s">
        <v>115</v>
      </c>
      <c r="O67" s="45" t="s">
        <v>128</v>
      </c>
      <c r="P67" s="37" t="s">
        <v>286</v>
      </c>
      <c r="Q67" s="37" t="s">
        <v>118</v>
      </c>
    </row>
    <row r="68" spans="1:17" ht="15" customHeight="1" x14ac:dyDescent="0.35">
      <c r="A68" s="30" t="s">
        <v>287</v>
      </c>
      <c r="B68" s="31">
        <v>46129</v>
      </c>
      <c r="C68" s="30" t="s">
        <v>43</v>
      </c>
      <c r="D68" s="30">
        <v>4</v>
      </c>
      <c r="E68" s="32" t="s">
        <v>163</v>
      </c>
      <c r="F68" s="32" t="s">
        <v>75</v>
      </c>
      <c r="G68" s="30" t="s">
        <v>113</v>
      </c>
      <c r="H68" s="32" t="s">
        <v>39</v>
      </c>
      <c r="I68" s="32" t="s">
        <v>166</v>
      </c>
      <c r="J68" s="30" t="s">
        <v>94</v>
      </c>
      <c r="K68" s="33">
        <v>6.2</v>
      </c>
      <c r="L68" s="34">
        <v>6641</v>
      </c>
      <c r="M68" s="35">
        <v>71530</v>
      </c>
      <c r="N68" s="30" t="s">
        <v>122</v>
      </c>
      <c r="O68" s="36" t="s">
        <v>116</v>
      </c>
      <c r="P68" s="30" t="s">
        <v>288</v>
      </c>
      <c r="Q68" s="30" t="s">
        <v>130</v>
      </c>
    </row>
    <row r="69" spans="1:17" ht="15" customHeight="1" x14ac:dyDescent="0.35">
      <c r="A69" s="37" t="s">
        <v>289</v>
      </c>
      <c r="B69" s="38">
        <v>46132</v>
      </c>
      <c r="C69" s="37" t="s">
        <v>43</v>
      </c>
      <c r="D69" s="37">
        <v>4</v>
      </c>
      <c r="E69" s="39" t="s">
        <v>120</v>
      </c>
      <c r="F69" s="39" t="s">
        <v>77</v>
      </c>
      <c r="G69" s="37" t="s">
        <v>113</v>
      </c>
      <c r="H69" s="39" t="s">
        <v>46</v>
      </c>
      <c r="I69" s="39" t="s">
        <v>166</v>
      </c>
      <c r="J69" s="37" t="s">
        <v>93</v>
      </c>
      <c r="K69" s="40">
        <v>2</v>
      </c>
      <c r="L69" s="41">
        <v>1791</v>
      </c>
      <c r="M69" s="42">
        <v>21845</v>
      </c>
      <c r="N69" s="37" t="s">
        <v>122</v>
      </c>
      <c r="O69" s="45" t="s">
        <v>128</v>
      </c>
      <c r="P69" s="37" t="s">
        <v>290</v>
      </c>
      <c r="Q69" s="37" t="s">
        <v>139</v>
      </c>
    </row>
    <row r="70" spans="1:17" ht="15" customHeight="1" x14ac:dyDescent="0.35">
      <c r="A70" s="30" t="s">
        <v>291</v>
      </c>
      <c r="B70" s="31">
        <v>46136</v>
      </c>
      <c r="C70" s="30" t="s">
        <v>43</v>
      </c>
      <c r="D70" s="30">
        <v>4</v>
      </c>
      <c r="E70" s="32" t="s">
        <v>155</v>
      </c>
      <c r="F70" s="32" t="s">
        <v>75</v>
      </c>
      <c r="G70" s="30" t="s">
        <v>113</v>
      </c>
      <c r="H70" s="32" t="s">
        <v>42</v>
      </c>
      <c r="I70" s="32" t="s">
        <v>114</v>
      </c>
      <c r="J70" s="30" t="s">
        <v>94</v>
      </c>
      <c r="K70" s="33">
        <v>1.5</v>
      </c>
      <c r="L70" s="34">
        <v>1744</v>
      </c>
      <c r="M70" s="35">
        <v>16955</v>
      </c>
      <c r="N70" s="30" t="s">
        <v>115</v>
      </c>
      <c r="O70" s="47" t="s">
        <v>142</v>
      </c>
      <c r="P70" s="30" t="s">
        <v>292</v>
      </c>
      <c r="Q70" s="30" t="s">
        <v>118</v>
      </c>
    </row>
    <row r="71" spans="1:17" ht="15" customHeight="1" x14ac:dyDescent="0.35">
      <c r="A71" s="37" t="s">
        <v>293</v>
      </c>
      <c r="B71" s="38">
        <v>46137</v>
      </c>
      <c r="C71" s="37" t="s">
        <v>43</v>
      </c>
      <c r="D71" s="37">
        <v>4</v>
      </c>
      <c r="E71" s="39" t="s">
        <v>187</v>
      </c>
      <c r="F71" s="39" t="s">
        <v>80</v>
      </c>
      <c r="G71" s="37" t="s">
        <v>113</v>
      </c>
      <c r="H71" s="39" t="s">
        <v>46</v>
      </c>
      <c r="I71" s="39" t="s">
        <v>132</v>
      </c>
      <c r="J71" s="37" t="s">
        <v>94</v>
      </c>
      <c r="K71" s="40">
        <v>0.9</v>
      </c>
      <c r="L71" s="41">
        <v>1010</v>
      </c>
      <c r="M71" s="42">
        <v>6784</v>
      </c>
      <c r="N71" s="37" t="s">
        <v>122</v>
      </c>
      <c r="O71" s="49" t="s">
        <v>142</v>
      </c>
      <c r="P71" s="37" t="s">
        <v>294</v>
      </c>
      <c r="Q71" s="37" t="s">
        <v>125</v>
      </c>
    </row>
    <row r="72" spans="1:17" ht="15" customHeight="1" x14ac:dyDescent="0.35">
      <c r="A72" s="30" t="s">
        <v>295</v>
      </c>
      <c r="B72" s="31">
        <v>46138</v>
      </c>
      <c r="C72" s="30" t="s">
        <v>43</v>
      </c>
      <c r="D72" s="30">
        <v>4</v>
      </c>
      <c r="E72" s="32" t="s">
        <v>120</v>
      </c>
      <c r="F72" s="32" t="s">
        <v>77</v>
      </c>
      <c r="G72" s="30" t="s">
        <v>113</v>
      </c>
      <c r="H72" s="32" t="s">
        <v>49</v>
      </c>
      <c r="I72" s="32" t="s">
        <v>132</v>
      </c>
      <c r="J72" s="30" t="s">
        <v>94</v>
      </c>
      <c r="K72" s="33">
        <v>2.5</v>
      </c>
      <c r="L72" s="34">
        <v>1614</v>
      </c>
      <c r="M72" s="35">
        <v>20428</v>
      </c>
      <c r="N72" s="30" t="s">
        <v>122</v>
      </c>
      <c r="O72" s="44" t="s">
        <v>128</v>
      </c>
      <c r="P72" s="30" t="s">
        <v>296</v>
      </c>
      <c r="Q72" s="30" t="s">
        <v>125</v>
      </c>
    </row>
    <row r="73" spans="1:17" ht="15" customHeight="1" x14ac:dyDescent="0.35">
      <c r="A73" s="37" t="s">
        <v>297</v>
      </c>
      <c r="B73" s="38">
        <v>46138</v>
      </c>
      <c r="C73" s="37" t="s">
        <v>43</v>
      </c>
      <c r="D73" s="37">
        <v>4</v>
      </c>
      <c r="E73" s="39" t="s">
        <v>155</v>
      </c>
      <c r="F73" s="39" t="s">
        <v>75</v>
      </c>
      <c r="G73" s="37" t="s">
        <v>113</v>
      </c>
      <c r="H73" s="39" t="s">
        <v>33</v>
      </c>
      <c r="I73" s="39" t="s">
        <v>121</v>
      </c>
      <c r="J73" s="37" t="s">
        <v>92</v>
      </c>
      <c r="K73" s="40">
        <v>1.9</v>
      </c>
      <c r="L73" s="41">
        <v>2069</v>
      </c>
      <c r="M73" s="42">
        <v>15799</v>
      </c>
      <c r="N73" s="37" t="s">
        <v>122</v>
      </c>
      <c r="O73" s="49" t="s">
        <v>142</v>
      </c>
      <c r="P73" s="37" t="s">
        <v>298</v>
      </c>
      <c r="Q73" s="37" t="s">
        <v>139</v>
      </c>
    </row>
    <row r="74" spans="1:17" ht="15" customHeight="1" x14ac:dyDescent="0.35">
      <c r="A74" s="30" t="s">
        <v>299</v>
      </c>
      <c r="B74" s="31">
        <v>46138</v>
      </c>
      <c r="C74" s="30" t="s">
        <v>43</v>
      </c>
      <c r="D74" s="30">
        <v>4</v>
      </c>
      <c r="E74" s="32" t="s">
        <v>135</v>
      </c>
      <c r="F74" s="32" t="s">
        <v>75</v>
      </c>
      <c r="G74" s="30" t="s">
        <v>113</v>
      </c>
      <c r="H74" s="32" t="s">
        <v>42</v>
      </c>
      <c r="I74" s="32" t="s">
        <v>174</v>
      </c>
      <c r="J74" s="30" t="s">
        <v>93</v>
      </c>
      <c r="K74" s="33">
        <v>2.5</v>
      </c>
      <c r="L74" s="34">
        <v>2452</v>
      </c>
      <c r="M74" s="35">
        <v>27516</v>
      </c>
      <c r="N74" s="30" t="s">
        <v>115</v>
      </c>
      <c r="O74" s="44" t="s">
        <v>128</v>
      </c>
      <c r="P74" s="30" t="s">
        <v>300</v>
      </c>
      <c r="Q74" s="30" t="s">
        <v>130</v>
      </c>
    </row>
    <row r="75" spans="1:17" ht="15" customHeight="1" x14ac:dyDescent="0.35">
      <c r="A75" s="37" t="s">
        <v>301</v>
      </c>
      <c r="B75" s="38">
        <v>46141</v>
      </c>
      <c r="C75" s="37" t="s">
        <v>43</v>
      </c>
      <c r="D75" s="37">
        <v>4</v>
      </c>
      <c r="E75" s="39" t="s">
        <v>302</v>
      </c>
      <c r="F75" s="39" t="s">
        <v>78</v>
      </c>
      <c r="G75" s="37" t="s">
        <v>113</v>
      </c>
      <c r="H75" s="39" t="s">
        <v>49</v>
      </c>
      <c r="I75" s="39" t="s">
        <v>160</v>
      </c>
      <c r="J75" s="37" t="s">
        <v>93</v>
      </c>
      <c r="K75" s="40">
        <v>5.4</v>
      </c>
      <c r="L75" s="41">
        <v>4558</v>
      </c>
      <c r="M75" s="42">
        <v>48048</v>
      </c>
      <c r="N75" s="37" t="s">
        <v>122</v>
      </c>
      <c r="O75" s="45" t="s">
        <v>128</v>
      </c>
      <c r="P75" s="37" t="s">
        <v>303</v>
      </c>
      <c r="Q75" s="37" t="s">
        <v>118</v>
      </c>
    </row>
    <row r="76" spans="1:17" ht="15" customHeight="1" x14ac:dyDescent="0.35">
      <c r="A76" s="30" t="s">
        <v>304</v>
      </c>
      <c r="B76" s="31">
        <v>46144</v>
      </c>
      <c r="C76" s="30" t="s">
        <v>45</v>
      </c>
      <c r="D76" s="30">
        <v>5</v>
      </c>
      <c r="E76" s="32" t="s">
        <v>127</v>
      </c>
      <c r="F76" s="32" t="s">
        <v>80</v>
      </c>
      <c r="G76" s="30" t="s">
        <v>113</v>
      </c>
      <c r="H76" s="32" t="s">
        <v>63</v>
      </c>
      <c r="I76" s="32" t="s">
        <v>141</v>
      </c>
      <c r="J76" s="30" t="s">
        <v>94</v>
      </c>
      <c r="K76" s="33">
        <v>1</v>
      </c>
      <c r="L76" s="34">
        <v>1044</v>
      </c>
      <c r="M76" s="35">
        <v>8237</v>
      </c>
      <c r="N76" s="30" t="s">
        <v>122</v>
      </c>
      <c r="O76" s="47" t="s">
        <v>142</v>
      </c>
      <c r="P76" s="30" t="s">
        <v>305</v>
      </c>
      <c r="Q76" s="30" t="s">
        <v>118</v>
      </c>
    </row>
    <row r="77" spans="1:17" ht="15" customHeight="1" x14ac:dyDescent="0.35">
      <c r="A77" s="37" t="s">
        <v>306</v>
      </c>
      <c r="B77" s="38">
        <v>46144</v>
      </c>
      <c r="C77" s="37" t="s">
        <v>45</v>
      </c>
      <c r="D77" s="37">
        <v>5</v>
      </c>
      <c r="E77" s="39" t="s">
        <v>120</v>
      </c>
      <c r="F77" s="39" t="s">
        <v>77</v>
      </c>
      <c r="G77" s="37" t="s">
        <v>113</v>
      </c>
      <c r="H77" s="39" t="s">
        <v>46</v>
      </c>
      <c r="I77" s="39" t="s">
        <v>166</v>
      </c>
      <c r="J77" s="37" t="s">
        <v>94</v>
      </c>
      <c r="K77" s="40">
        <v>82.5</v>
      </c>
      <c r="L77" s="41">
        <v>60427</v>
      </c>
      <c r="M77" s="42">
        <v>866339</v>
      </c>
      <c r="N77" s="37" t="s">
        <v>122</v>
      </c>
      <c r="O77" s="43" t="s">
        <v>123</v>
      </c>
      <c r="P77" s="37" t="s">
        <v>307</v>
      </c>
      <c r="Q77" s="37" t="s">
        <v>130</v>
      </c>
    </row>
    <row r="78" spans="1:17" ht="15" customHeight="1" x14ac:dyDescent="0.35">
      <c r="A78" s="30" t="s">
        <v>308</v>
      </c>
      <c r="B78" s="31">
        <v>46145</v>
      </c>
      <c r="C78" s="30" t="s">
        <v>45</v>
      </c>
      <c r="D78" s="30">
        <v>5</v>
      </c>
      <c r="E78" s="32" t="s">
        <v>187</v>
      </c>
      <c r="F78" s="32" t="s">
        <v>80</v>
      </c>
      <c r="G78" s="30" t="s">
        <v>113</v>
      </c>
      <c r="H78" s="32" t="s">
        <v>46</v>
      </c>
      <c r="I78" s="32" t="s">
        <v>132</v>
      </c>
      <c r="J78" s="30" t="s">
        <v>93</v>
      </c>
      <c r="K78" s="33">
        <v>0.6</v>
      </c>
      <c r="L78" s="34">
        <v>464</v>
      </c>
      <c r="M78" s="35">
        <v>6240</v>
      </c>
      <c r="N78" s="30" t="s">
        <v>122</v>
      </c>
      <c r="O78" s="47" t="s">
        <v>142</v>
      </c>
      <c r="P78" s="30" t="s">
        <v>309</v>
      </c>
      <c r="Q78" s="30" t="s">
        <v>130</v>
      </c>
    </row>
    <row r="79" spans="1:17" ht="15" customHeight="1" x14ac:dyDescent="0.35">
      <c r="A79" s="37" t="s">
        <v>310</v>
      </c>
      <c r="B79" s="38">
        <v>46146</v>
      </c>
      <c r="C79" s="37" t="s">
        <v>45</v>
      </c>
      <c r="D79" s="37">
        <v>5</v>
      </c>
      <c r="E79" s="39" t="s">
        <v>135</v>
      </c>
      <c r="F79" s="39" t="s">
        <v>75</v>
      </c>
      <c r="G79" s="37" t="s">
        <v>113</v>
      </c>
      <c r="H79" s="39" t="s">
        <v>46</v>
      </c>
      <c r="I79" s="39" t="s">
        <v>114</v>
      </c>
      <c r="J79" s="37" t="s">
        <v>93</v>
      </c>
      <c r="K79" s="40">
        <v>26.1</v>
      </c>
      <c r="L79" s="41">
        <v>17815</v>
      </c>
      <c r="M79" s="42">
        <v>260040</v>
      </c>
      <c r="N79" s="37" t="s">
        <v>115</v>
      </c>
      <c r="O79" s="43" t="s">
        <v>123</v>
      </c>
      <c r="P79" s="37" t="s">
        <v>311</v>
      </c>
      <c r="Q79" s="37" t="s">
        <v>118</v>
      </c>
    </row>
    <row r="80" spans="1:17" ht="15" customHeight="1" x14ac:dyDescent="0.35">
      <c r="A80" s="30" t="s">
        <v>312</v>
      </c>
      <c r="B80" s="31">
        <v>46149</v>
      </c>
      <c r="C80" s="30" t="s">
        <v>45</v>
      </c>
      <c r="D80" s="30">
        <v>5</v>
      </c>
      <c r="E80" s="32" t="s">
        <v>302</v>
      </c>
      <c r="F80" s="32" t="s">
        <v>78</v>
      </c>
      <c r="G80" s="30" t="s">
        <v>113</v>
      </c>
      <c r="H80" s="32" t="s">
        <v>42</v>
      </c>
      <c r="I80" s="32" t="s">
        <v>132</v>
      </c>
      <c r="J80" s="30" t="s">
        <v>93</v>
      </c>
      <c r="K80" s="33">
        <v>5</v>
      </c>
      <c r="L80" s="34">
        <v>3259</v>
      </c>
      <c r="M80" s="35">
        <v>46872</v>
      </c>
      <c r="N80" s="30" t="s">
        <v>122</v>
      </c>
      <c r="O80" s="44" t="s">
        <v>128</v>
      </c>
      <c r="P80" s="30" t="s">
        <v>313</v>
      </c>
      <c r="Q80" s="30" t="s">
        <v>118</v>
      </c>
    </row>
    <row r="81" spans="1:17" ht="15" customHeight="1" x14ac:dyDescent="0.35">
      <c r="A81" s="37" t="s">
        <v>314</v>
      </c>
      <c r="B81" s="38">
        <v>46151</v>
      </c>
      <c r="C81" s="37" t="s">
        <v>45</v>
      </c>
      <c r="D81" s="37">
        <v>5</v>
      </c>
      <c r="E81" s="39" t="s">
        <v>211</v>
      </c>
      <c r="F81" s="39" t="s">
        <v>78</v>
      </c>
      <c r="G81" s="37" t="s">
        <v>113</v>
      </c>
      <c r="H81" s="39" t="s">
        <v>59</v>
      </c>
      <c r="I81" s="39" t="s">
        <v>132</v>
      </c>
      <c r="J81" s="37" t="s">
        <v>93</v>
      </c>
      <c r="K81" s="40">
        <v>0.7</v>
      </c>
      <c r="L81" s="41">
        <v>402</v>
      </c>
      <c r="M81" s="42">
        <v>6179</v>
      </c>
      <c r="N81" s="37" t="s">
        <v>115</v>
      </c>
      <c r="O81" s="49" t="s">
        <v>142</v>
      </c>
      <c r="P81" s="37" t="s">
        <v>315</v>
      </c>
      <c r="Q81" s="37" t="s">
        <v>139</v>
      </c>
    </row>
    <row r="82" spans="1:17" ht="15" customHeight="1" x14ac:dyDescent="0.35">
      <c r="A82" s="30" t="s">
        <v>316</v>
      </c>
      <c r="B82" s="31">
        <v>46155</v>
      </c>
      <c r="C82" s="30" t="s">
        <v>45</v>
      </c>
      <c r="D82" s="30">
        <v>5</v>
      </c>
      <c r="E82" s="32" t="s">
        <v>207</v>
      </c>
      <c r="F82" s="32" t="s">
        <v>81</v>
      </c>
      <c r="G82" s="30" t="s">
        <v>208</v>
      </c>
      <c r="H82" s="32" t="s">
        <v>61</v>
      </c>
      <c r="I82" s="32" t="s">
        <v>194</v>
      </c>
      <c r="J82" s="30" t="s">
        <v>92</v>
      </c>
      <c r="K82" s="33">
        <v>10.7</v>
      </c>
      <c r="L82" s="34">
        <v>11036</v>
      </c>
      <c r="M82" s="35">
        <v>102733</v>
      </c>
      <c r="N82" s="30" t="s">
        <v>122</v>
      </c>
      <c r="O82" s="36" t="s">
        <v>116</v>
      </c>
      <c r="P82" s="30" t="s">
        <v>317</v>
      </c>
      <c r="Q82" s="30" t="s">
        <v>118</v>
      </c>
    </row>
    <row r="83" spans="1:17" ht="15" customHeight="1" x14ac:dyDescent="0.35">
      <c r="A83" s="37" t="s">
        <v>318</v>
      </c>
      <c r="B83" s="38">
        <v>46158</v>
      </c>
      <c r="C83" s="37" t="s">
        <v>45</v>
      </c>
      <c r="D83" s="37">
        <v>5</v>
      </c>
      <c r="E83" s="39" t="s">
        <v>163</v>
      </c>
      <c r="F83" s="39" t="s">
        <v>75</v>
      </c>
      <c r="G83" s="37" t="s">
        <v>113</v>
      </c>
      <c r="H83" s="39" t="s">
        <v>49</v>
      </c>
      <c r="I83" s="39" t="s">
        <v>212</v>
      </c>
      <c r="J83" s="37" t="s">
        <v>92</v>
      </c>
      <c r="K83" s="40">
        <v>46.7</v>
      </c>
      <c r="L83" s="41">
        <v>46913</v>
      </c>
      <c r="M83" s="42">
        <v>402319</v>
      </c>
      <c r="N83" s="37" t="s">
        <v>122</v>
      </c>
      <c r="O83" s="43" t="s">
        <v>123</v>
      </c>
      <c r="P83" s="37" t="s">
        <v>319</v>
      </c>
      <c r="Q83" s="37" t="s">
        <v>125</v>
      </c>
    </row>
    <row r="84" spans="1:17" ht="15" customHeight="1" x14ac:dyDescent="0.35">
      <c r="A84" s="30" t="s">
        <v>320</v>
      </c>
      <c r="B84" s="31">
        <v>46159</v>
      </c>
      <c r="C84" s="30" t="s">
        <v>45</v>
      </c>
      <c r="D84" s="30">
        <v>5</v>
      </c>
      <c r="E84" s="32" t="s">
        <v>177</v>
      </c>
      <c r="F84" s="32" t="s">
        <v>80</v>
      </c>
      <c r="G84" s="30" t="s">
        <v>113</v>
      </c>
      <c r="H84" s="32" t="s">
        <v>44</v>
      </c>
      <c r="I84" s="32" t="s">
        <v>146</v>
      </c>
      <c r="J84" s="30" t="s">
        <v>93</v>
      </c>
      <c r="K84" s="33">
        <v>1.7</v>
      </c>
      <c r="L84" s="34">
        <v>1343</v>
      </c>
      <c r="M84" s="35">
        <v>20148</v>
      </c>
      <c r="N84" s="30" t="s">
        <v>122</v>
      </c>
      <c r="O84" s="47" t="s">
        <v>142</v>
      </c>
      <c r="P84" s="30" t="s">
        <v>321</v>
      </c>
      <c r="Q84" s="30" t="s">
        <v>139</v>
      </c>
    </row>
    <row r="85" spans="1:17" ht="15" customHeight="1" x14ac:dyDescent="0.35">
      <c r="A85" s="37" t="s">
        <v>322</v>
      </c>
      <c r="B85" s="38">
        <v>46160</v>
      </c>
      <c r="C85" s="37" t="s">
        <v>45</v>
      </c>
      <c r="D85" s="37">
        <v>5</v>
      </c>
      <c r="E85" s="39" t="s">
        <v>149</v>
      </c>
      <c r="F85" s="39" t="s">
        <v>75</v>
      </c>
      <c r="G85" s="37" t="s">
        <v>113</v>
      </c>
      <c r="H85" s="39" t="s">
        <v>49</v>
      </c>
      <c r="I85" s="39" t="s">
        <v>194</v>
      </c>
      <c r="J85" s="37" t="s">
        <v>94</v>
      </c>
      <c r="K85" s="40">
        <v>1</v>
      </c>
      <c r="L85" s="41">
        <v>1111</v>
      </c>
      <c r="M85" s="42">
        <v>8620</v>
      </c>
      <c r="N85" s="37" t="s">
        <v>122</v>
      </c>
      <c r="O85" s="49" t="s">
        <v>142</v>
      </c>
      <c r="P85" s="37" t="s">
        <v>323</v>
      </c>
      <c r="Q85" s="37" t="s">
        <v>118</v>
      </c>
    </row>
    <row r="86" spans="1:17" ht="15" customHeight="1" x14ac:dyDescent="0.35">
      <c r="A86" s="30" t="s">
        <v>324</v>
      </c>
      <c r="B86" s="31">
        <v>46162</v>
      </c>
      <c r="C86" s="30" t="s">
        <v>45</v>
      </c>
      <c r="D86" s="30">
        <v>5</v>
      </c>
      <c r="E86" s="32" t="s">
        <v>211</v>
      </c>
      <c r="F86" s="32" t="s">
        <v>78</v>
      </c>
      <c r="G86" s="30" t="s">
        <v>113</v>
      </c>
      <c r="H86" s="32" t="s">
        <v>46</v>
      </c>
      <c r="I86" s="32" t="s">
        <v>114</v>
      </c>
      <c r="J86" s="30" t="s">
        <v>92</v>
      </c>
      <c r="K86" s="33">
        <v>1.5</v>
      </c>
      <c r="L86" s="34">
        <v>1523</v>
      </c>
      <c r="M86" s="35">
        <v>17062</v>
      </c>
      <c r="N86" s="30" t="s">
        <v>122</v>
      </c>
      <c r="O86" s="47" t="s">
        <v>142</v>
      </c>
      <c r="P86" s="30" t="s">
        <v>325</v>
      </c>
      <c r="Q86" s="30" t="s">
        <v>118</v>
      </c>
    </row>
    <row r="87" spans="1:17" ht="15" customHeight="1" x14ac:dyDescent="0.35">
      <c r="A87" s="37" t="s">
        <v>326</v>
      </c>
      <c r="B87" s="38">
        <v>46165</v>
      </c>
      <c r="C87" s="37" t="s">
        <v>45</v>
      </c>
      <c r="D87" s="37">
        <v>5</v>
      </c>
      <c r="E87" s="39" t="s">
        <v>155</v>
      </c>
      <c r="F87" s="39" t="s">
        <v>75</v>
      </c>
      <c r="G87" s="37" t="s">
        <v>113</v>
      </c>
      <c r="H87" s="39" t="s">
        <v>44</v>
      </c>
      <c r="I87" s="39" t="s">
        <v>156</v>
      </c>
      <c r="J87" s="37" t="s">
        <v>92</v>
      </c>
      <c r="K87" s="40">
        <v>1.9</v>
      </c>
      <c r="L87" s="41">
        <v>1692</v>
      </c>
      <c r="M87" s="42">
        <v>19568</v>
      </c>
      <c r="N87" s="37" t="s">
        <v>122</v>
      </c>
      <c r="O87" s="49" t="s">
        <v>142</v>
      </c>
      <c r="P87" s="37" t="s">
        <v>327</v>
      </c>
      <c r="Q87" s="37" t="s">
        <v>139</v>
      </c>
    </row>
    <row r="88" spans="1:17" ht="15" customHeight="1" x14ac:dyDescent="0.35">
      <c r="A88" s="30" t="s">
        <v>328</v>
      </c>
      <c r="B88" s="31">
        <v>46170</v>
      </c>
      <c r="C88" s="30" t="s">
        <v>45</v>
      </c>
      <c r="D88" s="30">
        <v>5</v>
      </c>
      <c r="E88" s="32" t="s">
        <v>187</v>
      </c>
      <c r="F88" s="32" t="s">
        <v>80</v>
      </c>
      <c r="G88" s="30" t="s">
        <v>113</v>
      </c>
      <c r="H88" s="32" t="s">
        <v>64</v>
      </c>
      <c r="I88" s="32" t="s">
        <v>166</v>
      </c>
      <c r="J88" s="30" t="s">
        <v>92</v>
      </c>
      <c r="K88" s="33">
        <v>1.5</v>
      </c>
      <c r="L88" s="34">
        <v>1777</v>
      </c>
      <c r="M88" s="35">
        <v>16105</v>
      </c>
      <c r="N88" s="30" t="s">
        <v>122</v>
      </c>
      <c r="O88" s="47" t="s">
        <v>142</v>
      </c>
      <c r="P88" s="30" t="s">
        <v>329</v>
      </c>
      <c r="Q88" s="30" t="s">
        <v>118</v>
      </c>
    </row>
    <row r="89" spans="1:17" ht="15" customHeight="1" x14ac:dyDescent="0.35">
      <c r="A89" s="37" t="s">
        <v>330</v>
      </c>
      <c r="B89" s="38">
        <v>46171</v>
      </c>
      <c r="C89" s="37" t="s">
        <v>45</v>
      </c>
      <c r="D89" s="37">
        <v>5</v>
      </c>
      <c r="E89" s="39" t="s">
        <v>223</v>
      </c>
      <c r="F89" s="39" t="s">
        <v>81</v>
      </c>
      <c r="G89" s="37" t="s">
        <v>208</v>
      </c>
      <c r="H89" s="39" t="s">
        <v>59</v>
      </c>
      <c r="I89" s="39" t="s">
        <v>132</v>
      </c>
      <c r="J89" s="37" t="s">
        <v>94</v>
      </c>
      <c r="K89" s="40">
        <v>13.6</v>
      </c>
      <c r="L89" s="41">
        <v>10745</v>
      </c>
      <c r="M89" s="42">
        <v>105245</v>
      </c>
      <c r="N89" s="37" t="s">
        <v>122</v>
      </c>
      <c r="O89" s="46" t="s">
        <v>116</v>
      </c>
      <c r="P89" s="37" t="s">
        <v>331</v>
      </c>
      <c r="Q89" s="37" t="s">
        <v>139</v>
      </c>
    </row>
    <row r="90" spans="1:17" ht="15" customHeight="1" x14ac:dyDescent="0.35">
      <c r="A90" s="30" t="s">
        <v>332</v>
      </c>
      <c r="B90" s="31">
        <v>46171</v>
      </c>
      <c r="C90" s="30" t="s">
        <v>45</v>
      </c>
      <c r="D90" s="30">
        <v>5</v>
      </c>
      <c r="E90" s="32" t="s">
        <v>302</v>
      </c>
      <c r="F90" s="32" t="s">
        <v>78</v>
      </c>
      <c r="G90" s="30" t="s">
        <v>113</v>
      </c>
      <c r="H90" s="32" t="s">
        <v>39</v>
      </c>
      <c r="I90" s="32" t="s">
        <v>121</v>
      </c>
      <c r="J90" s="30" t="s">
        <v>94</v>
      </c>
      <c r="K90" s="33">
        <v>7.4</v>
      </c>
      <c r="L90" s="34">
        <v>5251</v>
      </c>
      <c r="M90" s="35">
        <v>73742</v>
      </c>
      <c r="N90" s="30" t="s">
        <v>122</v>
      </c>
      <c r="O90" s="36" t="s">
        <v>116</v>
      </c>
      <c r="P90" s="30" t="s">
        <v>333</v>
      </c>
      <c r="Q90" s="30" t="s">
        <v>130</v>
      </c>
    </row>
    <row r="91" spans="1:17" ht="15" customHeight="1" x14ac:dyDescent="0.35">
      <c r="A91" s="37" t="s">
        <v>334</v>
      </c>
      <c r="B91" s="38">
        <v>46172</v>
      </c>
      <c r="C91" s="37" t="s">
        <v>45</v>
      </c>
      <c r="D91" s="37">
        <v>5</v>
      </c>
      <c r="E91" s="39" t="s">
        <v>187</v>
      </c>
      <c r="F91" s="39" t="s">
        <v>80</v>
      </c>
      <c r="G91" s="37" t="s">
        <v>113</v>
      </c>
      <c r="H91" s="39" t="s">
        <v>55</v>
      </c>
      <c r="I91" s="39" t="s">
        <v>141</v>
      </c>
      <c r="J91" s="37" t="s">
        <v>93</v>
      </c>
      <c r="K91" s="40">
        <v>4.9000000000000004</v>
      </c>
      <c r="L91" s="41">
        <v>4365</v>
      </c>
      <c r="M91" s="42">
        <v>39272</v>
      </c>
      <c r="N91" s="37" t="s">
        <v>122</v>
      </c>
      <c r="O91" s="45" t="s">
        <v>128</v>
      </c>
      <c r="P91" s="37" t="s">
        <v>335</v>
      </c>
      <c r="Q91" s="37" t="s">
        <v>139</v>
      </c>
    </row>
    <row r="92" spans="1:17" ht="15" customHeight="1" x14ac:dyDescent="0.35">
      <c r="A92" s="30" t="s">
        <v>336</v>
      </c>
      <c r="B92" s="31">
        <v>46174</v>
      </c>
      <c r="C92" s="30" t="s">
        <v>47</v>
      </c>
      <c r="D92" s="30">
        <v>6</v>
      </c>
      <c r="E92" s="32" t="s">
        <v>182</v>
      </c>
      <c r="F92" s="32" t="s">
        <v>84</v>
      </c>
      <c r="G92" s="30" t="s">
        <v>113</v>
      </c>
      <c r="H92" s="32" t="s">
        <v>39</v>
      </c>
      <c r="I92" s="32" t="s">
        <v>174</v>
      </c>
      <c r="J92" s="30" t="s">
        <v>93</v>
      </c>
      <c r="K92" s="33">
        <v>6.9</v>
      </c>
      <c r="L92" s="34">
        <v>3969</v>
      </c>
      <c r="M92" s="35">
        <v>66842</v>
      </c>
      <c r="N92" s="30" t="s">
        <v>115</v>
      </c>
      <c r="O92" s="36" t="s">
        <v>116</v>
      </c>
      <c r="P92" s="30" t="s">
        <v>337</v>
      </c>
      <c r="Q92" s="30" t="s">
        <v>139</v>
      </c>
    </row>
    <row r="93" spans="1:17" ht="15" customHeight="1" x14ac:dyDescent="0.35">
      <c r="A93" s="37" t="s">
        <v>338</v>
      </c>
      <c r="B93" s="38">
        <v>46175</v>
      </c>
      <c r="C93" s="37" t="s">
        <v>47</v>
      </c>
      <c r="D93" s="37">
        <v>6</v>
      </c>
      <c r="E93" s="39" t="s">
        <v>302</v>
      </c>
      <c r="F93" s="39" t="s">
        <v>78</v>
      </c>
      <c r="G93" s="37" t="s">
        <v>113</v>
      </c>
      <c r="H93" s="39" t="s">
        <v>44</v>
      </c>
      <c r="I93" s="39" t="s">
        <v>121</v>
      </c>
      <c r="J93" s="37" t="s">
        <v>92</v>
      </c>
      <c r="K93" s="40">
        <v>1.9</v>
      </c>
      <c r="L93" s="41">
        <v>1690</v>
      </c>
      <c r="M93" s="42">
        <v>14081</v>
      </c>
      <c r="N93" s="37" t="s">
        <v>115</v>
      </c>
      <c r="O93" s="49" t="s">
        <v>142</v>
      </c>
      <c r="P93" s="37" t="s">
        <v>339</v>
      </c>
      <c r="Q93" s="37" t="s">
        <v>130</v>
      </c>
    </row>
    <row r="94" spans="1:17" ht="15" customHeight="1" x14ac:dyDescent="0.35">
      <c r="A94" s="30" t="s">
        <v>340</v>
      </c>
      <c r="B94" s="31">
        <v>46175</v>
      </c>
      <c r="C94" s="30" t="s">
        <v>47</v>
      </c>
      <c r="D94" s="30">
        <v>6</v>
      </c>
      <c r="E94" s="32" t="s">
        <v>187</v>
      </c>
      <c r="F94" s="32" t="s">
        <v>80</v>
      </c>
      <c r="G94" s="30" t="s">
        <v>113</v>
      </c>
      <c r="H94" s="32" t="s">
        <v>62</v>
      </c>
      <c r="I94" s="32" t="s">
        <v>212</v>
      </c>
      <c r="J94" s="30" t="s">
        <v>94</v>
      </c>
      <c r="K94" s="33">
        <v>13.1</v>
      </c>
      <c r="L94" s="34">
        <v>7551</v>
      </c>
      <c r="M94" s="35">
        <v>100671</v>
      </c>
      <c r="N94" s="30" t="s">
        <v>122</v>
      </c>
      <c r="O94" s="36" t="s">
        <v>116</v>
      </c>
      <c r="P94" s="30" t="s">
        <v>341</v>
      </c>
      <c r="Q94" s="30" t="s">
        <v>139</v>
      </c>
    </row>
    <row r="95" spans="1:17" ht="15" customHeight="1" x14ac:dyDescent="0.35">
      <c r="A95" s="37" t="s">
        <v>342</v>
      </c>
      <c r="B95" s="38">
        <v>46177</v>
      </c>
      <c r="C95" s="37" t="s">
        <v>47</v>
      </c>
      <c r="D95" s="37">
        <v>6</v>
      </c>
      <c r="E95" s="39" t="s">
        <v>204</v>
      </c>
      <c r="F95" s="39" t="s">
        <v>79</v>
      </c>
      <c r="G95" s="37" t="s">
        <v>173</v>
      </c>
      <c r="H95" s="39" t="s">
        <v>53</v>
      </c>
      <c r="I95" s="39" t="s">
        <v>194</v>
      </c>
      <c r="J95" s="37" t="s">
        <v>94</v>
      </c>
      <c r="K95" s="40">
        <v>3.2</v>
      </c>
      <c r="L95" s="41">
        <v>2472</v>
      </c>
      <c r="M95" s="42">
        <v>29694</v>
      </c>
      <c r="N95" s="37" t="s">
        <v>122</v>
      </c>
      <c r="O95" s="45" t="s">
        <v>128</v>
      </c>
      <c r="P95" s="37" t="s">
        <v>343</v>
      </c>
      <c r="Q95" s="37" t="s">
        <v>118</v>
      </c>
    </row>
    <row r="96" spans="1:17" ht="15" customHeight="1" x14ac:dyDescent="0.35">
      <c r="A96" s="30" t="s">
        <v>344</v>
      </c>
      <c r="B96" s="31">
        <v>46178</v>
      </c>
      <c r="C96" s="30" t="s">
        <v>47</v>
      </c>
      <c r="D96" s="30">
        <v>6</v>
      </c>
      <c r="E96" s="32" t="s">
        <v>163</v>
      </c>
      <c r="F96" s="32" t="s">
        <v>75</v>
      </c>
      <c r="G96" s="30" t="s">
        <v>113</v>
      </c>
      <c r="H96" s="32" t="s">
        <v>53</v>
      </c>
      <c r="I96" s="32" t="s">
        <v>212</v>
      </c>
      <c r="J96" s="30" t="s">
        <v>92</v>
      </c>
      <c r="K96" s="33">
        <v>1.2</v>
      </c>
      <c r="L96" s="34">
        <v>1014</v>
      </c>
      <c r="M96" s="35">
        <v>10319</v>
      </c>
      <c r="N96" s="30" t="s">
        <v>122</v>
      </c>
      <c r="O96" s="47" t="s">
        <v>142</v>
      </c>
      <c r="P96" s="30" t="s">
        <v>345</v>
      </c>
      <c r="Q96" s="30" t="s">
        <v>139</v>
      </c>
    </row>
    <row r="97" spans="1:17" ht="15" customHeight="1" x14ac:dyDescent="0.35">
      <c r="A97" s="37" t="s">
        <v>346</v>
      </c>
      <c r="B97" s="38">
        <v>46181</v>
      </c>
      <c r="C97" s="37" t="s">
        <v>47</v>
      </c>
      <c r="D97" s="37">
        <v>6</v>
      </c>
      <c r="E97" s="39" t="s">
        <v>228</v>
      </c>
      <c r="F97" s="39" t="s">
        <v>78</v>
      </c>
      <c r="G97" s="37" t="s">
        <v>113</v>
      </c>
      <c r="H97" s="39" t="s">
        <v>37</v>
      </c>
      <c r="I97" s="39" t="s">
        <v>121</v>
      </c>
      <c r="J97" s="37" t="s">
        <v>94</v>
      </c>
      <c r="K97" s="40">
        <v>22.3</v>
      </c>
      <c r="L97" s="41">
        <v>18305</v>
      </c>
      <c r="M97" s="42">
        <v>162767</v>
      </c>
      <c r="N97" s="37" t="s">
        <v>122</v>
      </c>
      <c r="O97" s="43" t="s">
        <v>123</v>
      </c>
      <c r="P97" s="37" t="s">
        <v>347</v>
      </c>
      <c r="Q97" s="37" t="s">
        <v>139</v>
      </c>
    </row>
    <row r="98" spans="1:17" ht="15" customHeight="1" x14ac:dyDescent="0.35">
      <c r="A98" s="30" t="s">
        <v>348</v>
      </c>
      <c r="B98" s="31">
        <v>46186</v>
      </c>
      <c r="C98" s="30" t="s">
        <v>47</v>
      </c>
      <c r="D98" s="30">
        <v>6</v>
      </c>
      <c r="E98" s="32" t="s">
        <v>135</v>
      </c>
      <c r="F98" s="32" t="s">
        <v>75</v>
      </c>
      <c r="G98" s="30" t="s">
        <v>113</v>
      </c>
      <c r="H98" s="32" t="s">
        <v>44</v>
      </c>
      <c r="I98" s="32" t="s">
        <v>132</v>
      </c>
      <c r="J98" s="30" t="s">
        <v>93</v>
      </c>
      <c r="K98" s="33">
        <v>0.9</v>
      </c>
      <c r="L98" s="34">
        <v>582</v>
      </c>
      <c r="M98" s="35">
        <v>9379</v>
      </c>
      <c r="N98" s="30" t="s">
        <v>122</v>
      </c>
      <c r="O98" s="47" t="s">
        <v>142</v>
      </c>
      <c r="P98" s="30" t="s">
        <v>349</v>
      </c>
      <c r="Q98" s="30" t="s">
        <v>118</v>
      </c>
    </row>
    <row r="99" spans="1:17" ht="15" customHeight="1" x14ac:dyDescent="0.35">
      <c r="A99" s="37" t="s">
        <v>350</v>
      </c>
      <c r="B99" s="38">
        <v>46186</v>
      </c>
      <c r="C99" s="37" t="s">
        <v>47</v>
      </c>
      <c r="D99" s="37">
        <v>6</v>
      </c>
      <c r="E99" s="39" t="s">
        <v>351</v>
      </c>
      <c r="F99" s="39" t="s">
        <v>83</v>
      </c>
      <c r="G99" s="37" t="s">
        <v>113</v>
      </c>
      <c r="H99" s="39" t="s">
        <v>53</v>
      </c>
      <c r="I99" s="39" t="s">
        <v>146</v>
      </c>
      <c r="J99" s="37" t="s">
        <v>94</v>
      </c>
      <c r="K99" s="40">
        <v>15.7</v>
      </c>
      <c r="L99" s="41">
        <v>13665</v>
      </c>
      <c r="M99" s="42">
        <v>178334</v>
      </c>
      <c r="N99" s="37" t="s">
        <v>115</v>
      </c>
      <c r="O99" s="46" t="s">
        <v>116</v>
      </c>
      <c r="P99" s="37" t="s">
        <v>352</v>
      </c>
      <c r="Q99" s="37" t="s">
        <v>130</v>
      </c>
    </row>
    <row r="100" spans="1:17" ht="15" customHeight="1" x14ac:dyDescent="0.35">
      <c r="A100" s="30" t="s">
        <v>353</v>
      </c>
      <c r="B100" s="31">
        <v>46189</v>
      </c>
      <c r="C100" s="30" t="s">
        <v>47</v>
      </c>
      <c r="D100" s="30">
        <v>6</v>
      </c>
      <c r="E100" s="32" t="s">
        <v>163</v>
      </c>
      <c r="F100" s="32" t="s">
        <v>75</v>
      </c>
      <c r="G100" s="30" t="s">
        <v>113</v>
      </c>
      <c r="H100" s="32" t="s">
        <v>53</v>
      </c>
      <c r="I100" s="32" t="s">
        <v>114</v>
      </c>
      <c r="J100" s="30" t="s">
        <v>92</v>
      </c>
      <c r="K100" s="33">
        <v>0.5</v>
      </c>
      <c r="L100" s="34">
        <v>395</v>
      </c>
      <c r="M100" s="35">
        <v>4142</v>
      </c>
      <c r="N100" s="30" t="s">
        <v>122</v>
      </c>
      <c r="O100" s="47" t="s">
        <v>142</v>
      </c>
      <c r="P100" s="30" t="s">
        <v>354</v>
      </c>
      <c r="Q100" s="30" t="s">
        <v>130</v>
      </c>
    </row>
    <row r="101" spans="1:17" ht="15" customHeight="1" x14ac:dyDescent="0.35">
      <c r="A101" s="37" t="s">
        <v>355</v>
      </c>
      <c r="B101" s="38">
        <v>46191</v>
      </c>
      <c r="C101" s="37" t="s">
        <v>47</v>
      </c>
      <c r="D101" s="37">
        <v>6</v>
      </c>
      <c r="E101" s="39" t="s">
        <v>112</v>
      </c>
      <c r="F101" s="39" t="s">
        <v>77</v>
      </c>
      <c r="G101" s="37" t="s">
        <v>113</v>
      </c>
      <c r="H101" s="39" t="s">
        <v>53</v>
      </c>
      <c r="I101" s="39" t="s">
        <v>194</v>
      </c>
      <c r="J101" s="37" t="s">
        <v>92</v>
      </c>
      <c r="K101" s="40">
        <v>4.5999999999999996</v>
      </c>
      <c r="L101" s="41">
        <v>5368</v>
      </c>
      <c r="M101" s="42">
        <v>46471</v>
      </c>
      <c r="N101" s="37" t="s">
        <v>115</v>
      </c>
      <c r="O101" s="45" t="s">
        <v>128</v>
      </c>
      <c r="P101" s="37" t="s">
        <v>356</v>
      </c>
      <c r="Q101" s="37" t="s">
        <v>125</v>
      </c>
    </row>
    <row r="102" spans="1:17" ht="15" customHeight="1" x14ac:dyDescent="0.35">
      <c r="A102" s="30" t="s">
        <v>357</v>
      </c>
      <c r="B102" s="31">
        <v>46191</v>
      </c>
      <c r="C102" s="30" t="s">
        <v>47</v>
      </c>
      <c r="D102" s="30">
        <v>6</v>
      </c>
      <c r="E102" s="32" t="s">
        <v>155</v>
      </c>
      <c r="F102" s="32" t="s">
        <v>75</v>
      </c>
      <c r="G102" s="30" t="s">
        <v>113</v>
      </c>
      <c r="H102" s="32" t="s">
        <v>33</v>
      </c>
      <c r="I102" s="32" t="s">
        <v>146</v>
      </c>
      <c r="J102" s="30" t="s">
        <v>93</v>
      </c>
      <c r="K102" s="33">
        <v>1.6</v>
      </c>
      <c r="L102" s="34">
        <v>1069</v>
      </c>
      <c r="M102" s="35">
        <v>14133</v>
      </c>
      <c r="N102" s="30" t="s">
        <v>122</v>
      </c>
      <c r="O102" s="47" t="s">
        <v>142</v>
      </c>
      <c r="P102" s="30" t="s">
        <v>358</v>
      </c>
      <c r="Q102" s="30" t="s">
        <v>125</v>
      </c>
    </row>
    <row r="103" spans="1:17" ht="15" customHeight="1" x14ac:dyDescent="0.35">
      <c r="A103" s="37" t="s">
        <v>359</v>
      </c>
      <c r="B103" s="38">
        <v>46194</v>
      </c>
      <c r="C103" s="37" t="s">
        <v>47</v>
      </c>
      <c r="D103" s="37">
        <v>6</v>
      </c>
      <c r="E103" s="39" t="s">
        <v>177</v>
      </c>
      <c r="F103" s="39" t="s">
        <v>80</v>
      </c>
      <c r="G103" s="37" t="s">
        <v>113</v>
      </c>
      <c r="H103" s="39" t="s">
        <v>49</v>
      </c>
      <c r="I103" s="39" t="s">
        <v>132</v>
      </c>
      <c r="J103" s="37" t="s">
        <v>94</v>
      </c>
      <c r="K103" s="40">
        <v>1.4</v>
      </c>
      <c r="L103" s="41">
        <v>1062</v>
      </c>
      <c r="M103" s="42">
        <v>11651</v>
      </c>
      <c r="N103" s="37" t="s">
        <v>115</v>
      </c>
      <c r="O103" s="49" t="s">
        <v>142</v>
      </c>
      <c r="P103" s="37" t="s">
        <v>360</v>
      </c>
      <c r="Q103" s="37" t="s">
        <v>130</v>
      </c>
    </row>
    <row r="104" spans="1:17" ht="15" customHeight="1" x14ac:dyDescent="0.35">
      <c r="A104" s="30" t="s">
        <v>361</v>
      </c>
      <c r="B104" s="31">
        <v>46195</v>
      </c>
      <c r="C104" s="30" t="s">
        <v>47</v>
      </c>
      <c r="D104" s="30">
        <v>6</v>
      </c>
      <c r="E104" s="32" t="s">
        <v>177</v>
      </c>
      <c r="F104" s="32" t="s">
        <v>80</v>
      </c>
      <c r="G104" s="30" t="s">
        <v>113</v>
      </c>
      <c r="H104" s="32" t="s">
        <v>46</v>
      </c>
      <c r="I104" s="32" t="s">
        <v>174</v>
      </c>
      <c r="J104" s="30" t="s">
        <v>92</v>
      </c>
      <c r="K104" s="33">
        <v>0.7</v>
      </c>
      <c r="L104" s="34">
        <v>763</v>
      </c>
      <c r="M104" s="35">
        <v>6995</v>
      </c>
      <c r="N104" s="30" t="s">
        <v>115</v>
      </c>
      <c r="O104" s="47" t="s">
        <v>142</v>
      </c>
      <c r="P104" s="30" t="s">
        <v>362</v>
      </c>
      <c r="Q104" s="30" t="s">
        <v>118</v>
      </c>
    </row>
    <row r="105" spans="1:17" ht="15" customHeight="1" x14ac:dyDescent="0.35">
      <c r="A105" s="37" t="s">
        <v>363</v>
      </c>
      <c r="B105" s="38">
        <v>46195</v>
      </c>
      <c r="C105" s="37" t="s">
        <v>47</v>
      </c>
      <c r="D105" s="37">
        <v>6</v>
      </c>
      <c r="E105" s="39" t="s">
        <v>149</v>
      </c>
      <c r="F105" s="39" t="s">
        <v>75</v>
      </c>
      <c r="G105" s="37" t="s">
        <v>113</v>
      </c>
      <c r="H105" s="39" t="s">
        <v>37</v>
      </c>
      <c r="I105" s="39" t="s">
        <v>194</v>
      </c>
      <c r="J105" s="37" t="s">
        <v>94</v>
      </c>
      <c r="K105" s="40">
        <v>2.1</v>
      </c>
      <c r="L105" s="41">
        <v>1258</v>
      </c>
      <c r="M105" s="42">
        <v>19625</v>
      </c>
      <c r="N105" s="37" t="s">
        <v>122</v>
      </c>
      <c r="O105" s="45" t="s">
        <v>128</v>
      </c>
      <c r="P105" s="37" t="s">
        <v>364</v>
      </c>
      <c r="Q105" s="37" t="s">
        <v>125</v>
      </c>
    </row>
    <row r="106" spans="1:17" ht="15" customHeight="1" x14ac:dyDescent="0.35">
      <c r="A106" s="30" t="s">
        <v>365</v>
      </c>
      <c r="B106" s="31">
        <v>46196</v>
      </c>
      <c r="C106" s="30" t="s">
        <v>47</v>
      </c>
      <c r="D106" s="30">
        <v>6</v>
      </c>
      <c r="E106" s="32" t="s">
        <v>172</v>
      </c>
      <c r="F106" s="32" t="s">
        <v>79</v>
      </c>
      <c r="G106" s="30" t="s">
        <v>173</v>
      </c>
      <c r="H106" s="32" t="s">
        <v>39</v>
      </c>
      <c r="I106" s="32" t="s">
        <v>166</v>
      </c>
      <c r="J106" s="30" t="s">
        <v>93</v>
      </c>
      <c r="K106" s="33">
        <v>1</v>
      </c>
      <c r="L106" s="34">
        <v>848</v>
      </c>
      <c r="M106" s="35">
        <v>7667</v>
      </c>
      <c r="N106" s="30" t="s">
        <v>122</v>
      </c>
      <c r="O106" s="47" t="s">
        <v>142</v>
      </c>
      <c r="P106" s="30" t="s">
        <v>366</v>
      </c>
      <c r="Q106" s="30" t="s">
        <v>139</v>
      </c>
    </row>
    <row r="107" spans="1:17" ht="15" customHeight="1" x14ac:dyDescent="0.35">
      <c r="A107" s="37" t="s">
        <v>367</v>
      </c>
      <c r="B107" s="38">
        <v>46197</v>
      </c>
      <c r="C107" s="37" t="s">
        <v>47</v>
      </c>
      <c r="D107" s="37">
        <v>6</v>
      </c>
      <c r="E107" s="39" t="s">
        <v>163</v>
      </c>
      <c r="F107" s="39" t="s">
        <v>75</v>
      </c>
      <c r="G107" s="37" t="s">
        <v>113</v>
      </c>
      <c r="H107" s="39" t="s">
        <v>33</v>
      </c>
      <c r="I107" s="39" t="s">
        <v>212</v>
      </c>
      <c r="J107" s="37" t="s">
        <v>92</v>
      </c>
      <c r="K107" s="40">
        <v>1.7</v>
      </c>
      <c r="L107" s="41">
        <v>1496</v>
      </c>
      <c r="M107" s="42">
        <v>16284</v>
      </c>
      <c r="N107" s="37" t="s">
        <v>122</v>
      </c>
      <c r="O107" s="49" t="s">
        <v>142</v>
      </c>
      <c r="P107" s="37" t="s">
        <v>368</v>
      </c>
      <c r="Q107" s="37" t="s">
        <v>118</v>
      </c>
    </row>
    <row r="108" spans="1:17" ht="15" customHeight="1" x14ac:dyDescent="0.35">
      <c r="A108" s="30" t="s">
        <v>369</v>
      </c>
      <c r="B108" s="31">
        <v>46197</v>
      </c>
      <c r="C108" s="30" t="s">
        <v>47</v>
      </c>
      <c r="D108" s="30">
        <v>6</v>
      </c>
      <c r="E108" s="32" t="s">
        <v>135</v>
      </c>
      <c r="F108" s="32" t="s">
        <v>75</v>
      </c>
      <c r="G108" s="30" t="s">
        <v>113</v>
      </c>
      <c r="H108" s="32" t="s">
        <v>62</v>
      </c>
      <c r="I108" s="32" t="s">
        <v>201</v>
      </c>
      <c r="J108" s="30" t="s">
        <v>93</v>
      </c>
      <c r="K108" s="33">
        <v>1.9</v>
      </c>
      <c r="L108" s="34">
        <v>2280</v>
      </c>
      <c r="M108" s="35">
        <v>14936</v>
      </c>
      <c r="N108" s="30" t="s">
        <v>122</v>
      </c>
      <c r="O108" s="47" t="s">
        <v>142</v>
      </c>
      <c r="P108" s="30" t="s">
        <v>370</v>
      </c>
      <c r="Q108" s="30" t="s">
        <v>125</v>
      </c>
    </row>
    <row r="109" spans="1:17" ht="15" customHeight="1" x14ac:dyDescent="0.35">
      <c r="A109" s="37" t="s">
        <v>371</v>
      </c>
      <c r="B109" s="38">
        <v>46197</v>
      </c>
      <c r="C109" s="37" t="s">
        <v>47</v>
      </c>
      <c r="D109" s="37">
        <v>6</v>
      </c>
      <c r="E109" s="39" t="s">
        <v>135</v>
      </c>
      <c r="F109" s="39" t="s">
        <v>75</v>
      </c>
      <c r="G109" s="37" t="s">
        <v>113</v>
      </c>
      <c r="H109" s="39" t="s">
        <v>39</v>
      </c>
      <c r="I109" s="39" t="s">
        <v>141</v>
      </c>
      <c r="J109" s="37" t="s">
        <v>94</v>
      </c>
      <c r="K109" s="40">
        <v>5.4</v>
      </c>
      <c r="L109" s="41">
        <v>4134</v>
      </c>
      <c r="M109" s="42">
        <v>58317</v>
      </c>
      <c r="N109" s="37" t="s">
        <v>122</v>
      </c>
      <c r="O109" s="45" t="s">
        <v>128</v>
      </c>
      <c r="P109" s="37" t="s">
        <v>372</v>
      </c>
      <c r="Q109" s="37" t="s">
        <v>118</v>
      </c>
    </row>
    <row r="110" spans="1:17" ht="15" customHeight="1" x14ac:dyDescent="0.35">
      <c r="A110" s="30" t="s">
        <v>373</v>
      </c>
      <c r="B110" s="31">
        <v>46198</v>
      </c>
      <c r="C110" s="30" t="s">
        <v>47</v>
      </c>
      <c r="D110" s="30">
        <v>6</v>
      </c>
      <c r="E110" s="32" t="s">
        <v>152</v>
      </c>
      <c r="F110" s="32" t="s">
        <v>78</v>
      </c>
      <c r="G110" s="30" t="s">
        <v>113</v>
      </c>
      <c r="H110" s="32" t="s">
        <v>37</v>
      </c>
      <c r="I110" s="32" t="s">
        <v>160</v>
      </c>
      <c r="J110" s="30" t="s">
        <v>92</v>
      </c>
      <c r="K110" s="33">
        <v>9.5</v>
      </c>
      <c r="L110" s="34">
        <v>6942</v>
      </c>
      <c r="M110" s="35">
        <v>72093</v>
      </c>
      <c r="N110" s="30" t="s">
        <v>122</v>
      </c>
      <c r="O110" s="36" t="s">
        <v>116</v>
      </c>
      <c r="P110" s="30" t="s">
        <v>374</v>
      </c>
      <c r="Q110" s="30" t="s">
        <v>139</v>
      </c>
    </row>
    <row r="111" spans="1:17" ht="15" customHeight="1" x14ac:dyDescent="0.35">
      <c r="A111" s="37" t="s">
        <v>375</v>
      </c>
      <c r="B111" s="38">
        <v>46200</v>
      </c>
      <c r="C111" s="37" t="s">
        <v>47</v>
      </c>
      <c r="D111" s="37">
        <v>6</v>
      </c>
      <c r="E111" s="39" t="s">
        <v>172</v>
      </c>
      <c r="F111" s="39" t="s">
        <v>79</v>
      </c>
      <c r="G111" s="37" t="s">
        <v>173</v>
      </c>
      <c r="H111" s="39" t="s">
        <v>33</v>
      </c>
      <c r="I111" s="39" t="s">
        <v>160</v>
      </c>
      <c r="J111" s="37" t="s">
        <v>94</v>
      </c>
      <c r="K111" s="40">
        <v>8.5</v>
      </c>
      <c r="L111" s="41">
        <v>8765</v>
      </c>
      <c r="M111" s="42">
        <v>61863</v>
      </c>
      <c r="N111" s="37" t="s">
        <v>122</v>
      </c>
      <c r="O111" s="46" t="s">
        <v>116</v>
      </c>
      <c r="P111" s="37" t="s">
        <v>376</v>
      </c>
      <c r="Q111" s="37" t="s">
        <v>125</v>
      </c>
    </row>
    <row r="112" spans="1:17" ht="15" customHeight="1" x14ac:dyDescent="0.35">
      <c r="A112" s="30" t="s">
        <v>377</v>
      </c>
      <c r="B112" s="31">
        <v>46202</v>
      </c>
      <c r="C112" s="30" t="s">
        <v>47</v>
      </c>
      <c r="D112" s="30">
        <v>6</v>
      </c>
      <c r="E112" s="32" t="s">
        <v>112</v>
      </c>
      <c r="F112" s="32" t="s">
        <v>77</v>
      </c>
      <c r="G112" s="30" t="s">
        <v>113</v>
      </c>
      <c r="H112" s="32" t="s">
        <v>33</v>
      </c>
      <c r="I112" s="32" t="s">
        <v>141</v>
      </c>
      <c r="J112" s="30" t="s">
        <v>94</v>
      </c>
      <c r="K112" s="33">
        <v>2.6</v>
      </c>
      <c r="L112" s="34">
        <v>1982</v>
      </c>
      <c r="M112" s="35">
        <v>25874</v>
      </c>
      <c r="N112" s="30" t="s">
        <v>115</v>
      </c>
      <c r="O112" s="44" t="s">
        <v>128</v>
      </c>
      <c r="P112" s="30" t="s">
        <v>378</v>
      </c>
      <c r="Q112" s="30" t="s">
        <v>118</v>
      </c>
    </row>
    <row r="113" spans="1:17" ht="15" customHeight="1" x14ac:dyDescent="0.35">
      <c r="A113" s="37" t="s">
        <v>379</v>
      </c>
      <c r="B113" s="38">
        <v>46209</v>
      </c>
      <c r="C113" s="37" t="s">
        <v>50</v>
      </c>
      <c r="D113" s="37">
        <v>7</v>
      </c>
      <c r="E113" s="39" t="s">
        <v>112</v>
      </c>
      <c r="F113" s="39" t="s">
        <v>77</v>
      </c>
      <c r="G113" s="37" t="s">
        <v>113</v>
      </c>
      <c r="H113" s="39" t="s">
        <v>49</v>
      </c>
      <c r="I113" s="39" t="s">
        <v>212</v>
      </c>
      <c r="J113" s="37" t="s">
        <v>94</v>
      </c>
      <c r="K113" s="40">
        <v>1.7</v>
      </c>
      <c r="L113" s="41">
        <v>2037</v>
      </c>
      <c r="M113" s="42">
        <v>13565</v>
      </c>
      <c r="N113" s="37" t="s">
        <v>122</v>
      </c>
      <c r="O113" s="49" t="s">
        <v>142</v>
      </c>
      <c r="P113" s="37" t="s">
        <v>380</v>
      </c>
      <c r="Q113" s="37" t="s">
        <v>118</v>
      </c>
    </row>
    <row r="114" spans="1:17" ht="15" customHeight="1" x14ac:dyDescent="0.35">
      <c r="A114" s="30" t="s">
        <v>381</v>
      </c>
      <c r="B114" s="31">
        <v>46210</v>
      </c>
      <c r="C114" s="30" t="s">
        <v>50</v>
      </c>
      <c r="D114" s="30">
        <v>7</v>
      </c>
      <c r="E114" s="32" t="s">
        <v>135</v>
      </c>
      <c r="F114" s="32" t="s">
        <v>75</v>
      </c>
      <c r="G114" s="30" t="s">
        <v>113</v>
      </c>
      <c r="H114" s="32" t="s">
        <v>33</v>
      </c>
      <c r="I114" s="32" t="s">
        <v>121</v>
      </c>
      <c r="J114" s="30" t="s">
        <v>93</v>
      </c>
      <c r="K114" s="33">
        <v>1.7</v>
      </c>
      <c r="L114" s="34">
        <v>1557</v>
      </c>
      <c r="M114" s="35">
        <v>17596</v>
      </c>
      <c r="N114" s="30" t="s">
        <v>115</v>
      </c>
      <c r="O114" s="47" t="s">
        <v>142</v>
      </c>
      <c r="P114" s="30" t="s">
        <v>382</v>
      </c>
      <c r="Q114" s="30" t="s">
        <v>118</v>
      </c>
    </row>
    <row r="115" spans="1:17" ht="15" customHeight="1" x14ac:dyDescent="0.35">
      <c r="A115" s="37" t="s">
        <v>383</v>
      </c>
      <c r="B115" s="38">
        <v>46211</v>
      </c>
      <c r="C115" s="37" t="s">
        <v>50</v>
      </c>
      <c r="D115" s="37">
        <v>7</v>
      </c>
      <c r="E115" s="39" t="s">
        <v>177</v>
      </c>
      <c r="F115" s="39" t="s">
        <v>80</v>
      </c>
      <c r="G115" s="37" t="s">
        <v>113</v>
      </c>
      <c r="H115" s="39" t="s">
        <v>39</v>
      </c>
      <c r="I115" s="39" t="s">
        <v>132</v>
      </c>
      <c r="J115" s="37" t="s">
        <v>92</v>
      </c>
      <c r="K115" s="40">
        <v>1.7</v>
      </c>
      <c r="L115" s="41">
        <v>1530</v>
      </c>
      <c r="M115" s="42">
        <v>18546</v>
      </c>
      <c r="N115" s="37" t="s">
        <v>122</v>
      </c>
      <c r="O115" s="49" t="s">
        <v>142</v>
      </c>
      <c r="P115" s="37" t="s">
        <v>384</v>
      </c>
      <c r="Q115" s="37" t="s">
        <v>125</v>
      </c>
    </row>
    <row r="116" spans="1:17" ht="15" customHeight="1" x14ac:dyDescent="0.35">
      <c r="A116" s="30" t="s">
        <v>385</v>
      </c>
      <c r="B116" s="31">
        <v>46211</v>
      </c>
      <c r="C116" s="30" t="s">
        <v>50</v>
      </c>
      <c r="D116" s="30">
        <v>7</v>
      </c>
      <c r="E116" s="32" t="s">
        <v>159</v>
      </c>
      <c r="F116" s="32" t="s">
        <v>77</v>
      </c>
      <c r="G116" s="30" t="s">
        <v>113</v>
      </c>
      <c r="H116" s="32" t="s">
        <v>42</v>
      </c>
      <c r="I116" s="32" t="s">
        <v>201</v>
      </c>
      <c r="J116" s="30" t="s">
        <v>94</v>
      </c>
      <c r="K116" s="33">
        <v>12.9</v>
      </c>
      <c r="L116" s="34">
        <v>6215</v>
      </c>
      <c r="M116" s="35">
        <v>139348</v>
      </c>
      <c r="N116" s="30" t="s">
        <v>122</v>
      </c>
      <c r="O116" s="36" t="s">
        <v>116</v>
      </c>
      <c r="P116" s="30" t="s">
        <v>386</v>
      </c>
      <c r="Q116" s="30" t="s">
        <v>118</v>
      </c>
    </row>
    <row r="117" spans="1:17" ht="15" customHeight="1" x14ac:dyDescent="0.35">
      <c r="A117" s="37" t="s">
        <v>387</v>
      </c>
      <c r="B117" s="38">
        <v>46214</v>
      </c>
      <c r="C117" s="37" t="s">
        <v>50</v>
      </c>
      <c r="D117" s="37">
        <v>7</v>
      </c>
      <c r="E117" s="39" t="s">
        <v>204</v>
      </c>
      <c r="F117" s="39" t="s">
        <v>79</v>
      </c>
      <c r="G117" s="37" t="s">
        <v>173</v>
      </c>
      <c r="H117" s="39" t="s">
        <v>51</v>
      </c>
      <c r="I117" s="39" t="s">
        <v>212</v>
      </c>
      <c r="J117" s="37" t="s">
        <v>92</v>
      </c>
      <c r="K117" s="40">
        <v>6</v>
      </c>
      <c r="L117" s="41">
        <v>6152</v>
      </c>
      <c r="M117" s="42">
        <v>65607</v>
      </c>
      <c r="N117" s="37" t="s">
        <v>115</v>
      </c>
      <c r="O117" s="46" t="s">
        <v>116</v>
      </c>
      <c r="P117" s="37" t="s">
        <v>388</v>
      </c>
      <c r="Q117" s="37" t="s">
        <v>130</v>
      </c>
    </row>
    <row r="118" spans="1:17" ht="15" customHeight="1" x14ac:dyDescent="0.35">
      <c r="A118" s="30" t="s">
        <v>389</v>
      </c>
      <c r="B118" s="31">
        <v>46217</v>
      </c>
      <c r="C118" s="30" t="s">
        <v>50</v>
      </c>
      <c r="D118" s="30">
        <v>7</v>
      </c>
      <c r="E118" s="32" t="s">
        <v>351</v>
      </c>
      <c r="F118" s="32" t="s">
        <v>83</v>
      </c>
      <c r="G118" s="30" t="s">
        <v>113</v>
      </c>
      <c r="H118" s="32" t="s">
        <v>42</v>
      </c>
      <c r="I118" s="32" t="s">
        <v>141</v>
      </c>
      <c r="J118" s="30" t="s">
        <v>92</v>
      </c>
      <c r="K118" s="33">
        <v>14.7</v>
      </c>
      <c r="L118" s="34">
        <v>8778</v>
      </c>
      <c r="M118" s="35">
        <v>129544</v>
      </c>
      <c r="N118" s="30" t="s">
        <v>122</v>
      </c>
      <c r="O118" s="36" t="s">
        <v>116</v>
      </c>
      <c r="P118" s="30" t="s">
        <v>390</v>
      </c>
      <c r="Q118" s="30" t="s">
        <v>125</v>
      </c>
    </row>
    <row r="119" spans="1:17" ht="15" customHeight="1" x14ac:dyDescent="0.35">
      <c r="A119" s="37" t="s">
        <v>391</v>
      </c>
      <c r="B119" s="38">
        <v>46217</v>
      </c>
      <c r="C119" s="37" t="s">
        <v>50</v>
      </c>
      <c r="D119" s="37">
        <v>7</v>
      </c>
      <c r="E119" s="39" t="s">
        <v>149</v>
      </c>
      <c r="F119" s="39" t="s">
        <v>75</v>
      </c>
      <c r="G119" s="37" t="s">
        <v>113</v>
      </c>
      <c r="H119" s="39" t="s">
        <v>49</v>
      </c>
      <c r="I119" s="39" t="s">
        <v>174</v>
      </c>
      <c r="J119" s="37" t="s">
        <v>92</v>
      </c>
      <c r="K119" s="40">
        <v>2.2000000000000002</v>
      </c>
      <c r="L119" s="41">
        <v>1508</v>
      </c>
      <c r="M119" s="42">
        <v>22954</v>
      </c>
      <c r="N119" s="37" t="s">
        <v>122</v>
      </c>
      <c r="O119" s="45" t="s">
        <v>128</v>
      </c>
      <c r="P119" s="37" t="s">
        <v>392</v>
      </c>
      <c r="Q119" s="37" t="s">
        <v>118</v>
      </c>
    </row>
    <row r="120" spans="1:17" ht="15" customHeight="1" x14ac:dyDescent="0.35">
      <c r="A120" s="30" t="s">
        <v>393</v>
      </c>
      <c r="B120" s="31">
        <v>46218</v>
      </c>
      <c r="C120" s="30" t="s">
        <v>50</v>
      </c>
      <c r="D120" s="30">
        <v>7</v>
      </c>
      <c r="E120" s="32" t="s">
        <v>155</v>
      </c>
      <c r="F120" s="32" t="s">
        <v>75</v>
      </c>
      <c r="G120" s="30" t="s">
        <v>113</v>
      </c>
      <c r="H120" s="32" t="s">
        <v>33</v>
      </c>
      <c r="I120" s="32" t="s">
        <v>141</v>
      </c>
      <c r="J120" s="30" t="s">
        <v>94</v>
      </c>
      <c r="K120" s="33">
        <v>5.7</v>
      </c>
      <c r="L120" s="34">
        <v>6761</v>
      </c>
      <c r="M120" s="35">
        <v>54024</v>
      </c>
      <c r="N120" s="30" t="s">
        <v>122</v>
      </c>
      <c r="O120" s="44" t="s">
        <v>128</v>
      </c>
      <c r="P120" s="30" t="s">
        <v>394</v>
      </c>
      <c r="Q120" s="30" t="s">
        <v>139</v>
      </c>
    </row>
    <row r="121" spans="1:17" ht="15" customHeight="1" x14ac:dyDescent="0.35">
      <c r="A121" s="37" t="s">
        <v>395</v>
      </c>
      <c r="B121" s="38">
        <v>46222</v>
      </c>
      <c r="C121" s="37" t="s">
        <v>50</v>
      </c>
      <c r="D121" s="37">
        <v>7</v>
      </c>
      <c r="E121" s="39" t="s">
        <v>204</v>
      </c>
      <c r="F121" s="39" t="s">
        <v>79</v>
      </c>
      <c r="G121" s="37" t="s">
        <v>173</v>
      </c>
      <c r="H121" s="39" t="s">
        <v>59</v>
      </c>
      <c r="I121" s="39" t="s">
        <v>121</v>
      </c>
      <c r="J121" s="37" t="s">
        <v>92</v>
      </c>
      <c r="K121" s="40">
        <v>22</v>
      </c>
      <c r="L121" s="41">
        <v>19085</v>
      </c>
      <c r="M121" s="42">
        <v>233519</v>
      </c>
      <c r="N121" s="37" t="s">
        <v>115</v>
      </c>
      <c r="O121" s="43" t="s">
        <v>123</v>
      </c>
      <c r="P121" s="37" t="s">
        <v>396</v>
      </c>
      <c r="Q121" s="37" t="s">
        <v>118</v>
      </c>
    </row>
    <row r="122" spans="1:17" ht="15" customHeight="1" x14ac:dyDescent="0.35">
      <c r="A122" s="30" t="s">
        <v>397</v>
      </c>
      <c r="B122" s="31">
        <v>46225</v>
      </c>
      <c r="C122" s="30" t="s">
        <v>50</v>
      </c>
      <c r="D122" s="30">
        <v>7</v>
      </c>
      <c r="E122" s="32" t="s">
        <v>155</v>
      </c>
      <c r="F122" s="32" t="s">
        <v>75</v>
      </c>
      <c r="G122" s="30" t="s">
        <v>113</v>
      </c>
      <c r="H122" s="32" t="s">
        <v>53</v>
      </c>
      <c r="I122" s="32" t="s">
        <v>121</v>
      </c>
      <c r="J122" s="30" t="s">
        <v>93</v>
      </c>
      <c r="K122" s="33">
        <v>4.2</v>
      </c>
      <c r="L122" s="34">
        <v>2894</v>
      </c>
      <c r="M122" s="35">
        <v>35663</v>
      </c>
      <c r="N122" s="30" t="s">
        <v>122</v>
      </c>
      <c r="O122" s="44" t="s">
        <v>128</v>
      </c>
      <c r="P122" s="30" t="s">
        <v>398</v>
      </c>
      <c r="Q122" s="30" t="s">
        <v>118</v>
      </c>
    </row>
    <row r="123" spans="1:17" ht="15" customHeight="1" x14ac:dyDescent="0.35">
      <c r="A123" s="37" t="s">
        <v>399</v>
      </c>
      <c r="B123" s="38">
        <v>46225</v>
      </c>
      <c r="C123" s="37" t="s">
        <v>50</v>
      </c>
      <c r="D123" s="37">
        <v>7</v>
      </c>
      <c r="E123" s="39" t="s">
        <v>120</v>
      </c>
      <c r="F123" s="39" t="s">
        <v>77</v>
      </c>
      <c r="G123" s="37" t="s">
        <v>113</v>
      </c>
      <c r="H123" s="39" t="s">
        <v>33</v>
      </c>
      <c r="I123" s="39" t="s">
        <v>141</v>
      </c>
      <c r="J123" s="37" t="s">
        <v>92</v>
      </c>
      <c r="K123" s="40">
        <v>0.5</v>
      </c>
      <c r="L123" s="41">
        <v>398</v>
      </c>
      <c r="M123" s="42">
        <v>4585</v>
      </c>
      <c r="N123" s="37" t="s">
        <v>115</v>
      </c>
      <c r="O123" s="49" t="s">
        <v>142</v>
      </c>
      <c r="P123" s="37" t="s">
        <v>400</v>
      </c>
      <c r="Q123" s="37" t="s">
        <v>130</v>
      </c>
    </row>
    <row r="124" spans="1:17" ht="15" customHeight="1" x14ac:dyDescent="0.35">
      <c r="A124" s="30" t="s">
        <v>401</v>
      </c>
      <c r="B124" s="31">
        <v>46226</v>
      </c>
      <c r="C124" s="30" t="s">
        <v>50</v>
      </c>
      <c r="D124" s="30">
        <v>7</v>
      </c>
      <c r="E124" s="32" t="s">
        <v>302</v>
      </c>
      <c r="F124" s="32" t="s">
        <v>78</v>
      </c>
      <c r="G124" s="30" t="s">
        <v>113</v>
      </c>
      <c r="H124" s="32" t="s">
        <v>55</v>
      </c>
      <c r="I124" s="32" t="s">
        <v>114</v>
      </c>
      <c r="J124" s="30" t="s">
        <v>93</v>
      </c>
      <c r="K124" s="33">
        <v>4.0999999999999996</v>
      </c>
      <c r="L124" s="34">
        <v>2044</v>
      </c>
      <c r="M124" s="35">
        <v>32836</v>
      </c>
      <c r="N124" s="30" t="s">
        <v>122</v>
      </c>
      <c r="O124" s="44" t="s">
        <v>128</v>
      </c>
      <c r="P124" s="30" t="s">
        <v>402</v>
      </c>
      <c r="Q124" s="30" t="s">
        <v>125</v>
      </c>
    </row>
    <row r="125" spans="1:17" ht="15" customHeight="1" x14ac:dyDescent="0.35">
      <c r="A125" s="37" t="s">
        <v>403</v>
      </c>
      <c r="B125" s="38">
        <v>46228</v>
      </c>
      <c r="C125" s="37" t="s">
        <v>50</v>
      </c>
      <c r="D125" s="37">
        <v>7</v>
      </c>
      <c r="E125" s="39" t="s">
        <v>112</v>
      </c>
      <c r="F125" s="39" t="s">
        <v>77</v>
      </c>
      <c r="G125" s="37" t="s">
        <v>113</v>
      </c>
      <c r="H125" s="39" t="s">
        <v>53</v>
      </c>
      <c r="I125" s="39" t="s">
        <v>212</v>
      </c>
      <c r="J125" s="37" t="s">
        <v>92</v>
      </c>
      <c r="K125" s="40">
        <v>3.2</v>
      </c>
      <c r="L125" s="41">
        <v>1739</v>
      </c>
      <c r="M125" s="42">
        <v>26636</v>
      </c>
      <c r="N125" s="37" t="s">
        <v>122</v>
      </c>
      <c r="O125" s="45" t="s">
        <v>128</v>
      </c>
      <c r="P125" s="37" t="s">
        <v>404</v>
      </c>
      <c r="Q125" s="37" t="s">
        <v>118</v>
      </c>
    </row>
    <row r="126" spans="1:17" ht="15" customHeight="1" x14ac:dyDescent="0.35">
      <c r="A126" s="30" t="s">
        <v>405</v>
      </c>
      <c r="B126" s="31">
        <v>46233</v>
      </c>
      <c r="C126" s="30" t="s">
        <v>50</v>
      </c>
      <c r="D126" s="30">
        <v>7</v>
      </c>
      <c r="E126" s="32" t="s">
        <v>187</v>
      </c>
      <c r="F126" s="32" t="s">
        <v>80</v>
      </c>
      <c r="G126" s="30" t="s">
        <v>113</v>
      </c>
      <c r="H126" s="32" t="s">
        <v>49</v>
      </c>
      <c r="I126" s="32" t="s">
        <v>212</v>
      </c>
      <c r="J126" s="30" t="s">
        <v>92</v>
      </c>
      <c r="K126" s="33">
        <v>1.3</v>
      </c>
      <c r="L126" s="34">
        <v>1125</v>
      </c>
      <c r="M126" s="35">
        <v>11033</v>
      </c>
      <c r="N126" s="30" t="s">
        <v>122</v>
      </c>
      <c r="O126" s="47" t="s">
        <v>142</v>
      </c>
      <c r="P126" s="30" t="s">
        <v>406</v>
      </c>
      <c r="Q126" s="30" t="s">
        <v>118</v>
      </c>
    </row>
    <row r="127" spans="1:17" ht="15" customHeight="1" x14ac:dyDescent="0.35">
      <c r="A127" s="37" t="s">
        <v>407</v>
      </c>
      <c r="B127" s="38">
        <v>46238</v>
      </c>
      <c r="C127" s="37" t="s">
        <v>52</v>
      </c>
      <c r="D127" s="37">
        <v>8</v>
      </c>
      <c r="E127" s="39" t="s">
        <v>112</v>
      </c>
      <c r="F127" s="39" t="s">
        <v>77</v>
      </c>
      <c r="G127" s="37" t="s">
        <v>113</v>
      </c>
      <c r="H127" s="39" t="s">
        <v>33</v>
      </c>
      <c r="I127" s="39" t="s">
        <v>132</v>
      </c>
      <c r="J127" s="37" t="s">
        <v>93</v>
      </c>
      <c r="K127" s="40">
        <v>8.8000000000000007</v>
      </c>
      <c r="L127" s="41">
        <v>8970</v>
      </c>
      <c r="M127" s="42">
        <v>64877</v>
      </c>
      <c r="N127" s="37" t="s">
        <v>115</v>
      </c>
      <c r="O127" s="46" t="s">
        <v>116</v>
      </c>
      <c r="P127" s="37" t="s">
        <v>408</v>
      </c>
      <c r="Q127" s="37" t="s">
        <v>125</v>
      </c>
    </row>
    <row r="128" spans="1:17" ht="15" customHeight="1" x14ac:dyDescent="0.35">
      <c r="A128" s="30" t="s">
        <v>409</v>
      </c>
      <c r="B128" s="31">
        <v>46238</v>
      </c>
      <c r="C128" s="30" t="s">
        <v>52</v>
      </c>
      <c r="D128" s="30">
        <v>8</v>
      </c>
      <c r="E128" s="32" t="s">
        <v>135</v>
      </c>
      <c r="F128" s="32" t="s">
        <v>75</v>
      </c>
      <c r="G128" s="30" t="s">
        <v>113</v>
      </c>
      <c r="H128" s="32" t="s">
        <v>42</v>
      </c>
      <c r="I128" s="32" t="s">
        <v>166</v>
      </c>
      <c r="J128" s="30" t="s">
        <v>92</v>
      </c>
      <c r="K128" s="33">
        <v>0.7</v>
      </c>
      <c r="L128" s="34">
        <v>562</v>
      </c>
      <c r="M128" s="35">
        <v>6191</v>
      </c>
      <c r="N128" s="30" t="s">
        <v>122</v>
      </c>
      <c r="O128" s="47" t="s">
        <v>142</v>
      </c>
      <c r="P128" s="30" t="s">
        <v>410</v>
      </c>
      <c r="Q128" s="30" t="s">
        <v>130</v>
      </c>
    </row>
    <row r="129" spans="1:17" ht="15" customHeight="1" x14ac:dyDescent="0.35">
      <c r="A129" s="37" t="s">
        <v>411</v>
      </c>
      <c r="B129" s="38">
        <v>46238</v>
      </c>
      <c r="C129" s="37" t="s">
        <v>52</v>
      </c>
      <c r="D129" s="37">
        <v>8</v>
      </c>
      <c r="E129" s="39" t="s">
        <v>302</v>
      </c>
      <c r="F129" s="39" t="s">
        <v>78</v>
      </c>
      <c r="G129" s="37" t="s">
        <v>113</v>
      </c>
      <c r="H129" s="39" t="s">
        <v>37</v>
      </c>
      <c r="I129" s="39" t="s">
        <v>194</v>
      </c>
      <c r="J129" s="37" t="s">
        <v>92</v>
      </c>
      <c r="K129" s="40">
        <v>74.8</v>
      </c>
      <c r="L129" s="41">
        <v>82738</v>
      </c>
      <c r="M129" s="42">
        <v>855124</v>
      </c>
      <c r="N129" s="37" t="s">
        <v>122</v>
      </c>
      <c r="O129" s="43" t="s">
        <v>123</v>
      </c>
      <c r="P129" s="37" t="s">
        <v>412</v>
      </c>
      <c r="Q129" s="37" t="s">
        <v>130</v>
      </c>
    </row>
    <row r="130" spans="1:17" ht="15" customHeight="1" x14ac:dyDescent="0.35">
      <c r="A130" s="30" t="s">
        <v>413</v>
      </c>
      <c r="B130" s="31">
        <v>46239</v>
      </c>
      <c r="C130" s="30" t="s">
        <v>52</v>
      </c>
      <c r="D130" s="30">
        <v>8</v>
      </c>
      <c r="E130" s="32" t="s">
        <v>159</v>
      </c>
      <c r="F130" s="32" t="s">
        <v>77</v>
      </c>
      <c r="G130" s="30" t="s">
        <v>113</v>
      </c>
      <c r="H130" s="32" t="s">
        <v>44</v>
      </c>
      <c r="I130" s="32" t="s">
        <v>146</v>
      </c>
      <c r="J130" s="30" t="s">
        <v>92</v>
      </c>
      <c r="K130" s="33">
        <v>15.4</v>
      </c>
      <c r="L130" s="34">
        <v>14049</v>
      </c>
      <c r="M130" s="35">
        <v>135448</v>
      </c>
      <c r="N130" s="30" t="s">
        <v>122</v>
      </c>
      <c r="O130" s="36" t="s">
        <v>116</v>
      </c>
      <c r="P130" s="30" t="s">
        <v>414</v>
      </c>
      <c r="Q130" s="30" t="s">
        <v>130</v>
      </c>
    </row>
    <row r="131" spans="1:17" ht="15" customHeight="1" x14ac:dyDescent="0.35">
      <c r="A131" s="37" t="s">
        <v>415</v>
      </c>
      <c r="B131" s="38">
        <v>46240</v>
      </c>
      <c r="C131" s="37" t="s">
        <v>52</v>
      </c>
      <c r="D131" s="37">
        <v>8</v>
      </c>
      <c r="E131" s="39" t="s">
        <v>302</v>
      </c>
      <c r="F131" s="39" t="s">
        <v>78</v>
      </c>
      <c r="G131" s="37" t="s">
        <v>113</v>
      </c>
      <c r="H131" s="39" t="s">
        <v>46</v>
      </c>
      <c r="I131" s="39" t="s">
        <v>194</v>
      </c>
      <c r="J131" s="37" t="s">
        <v>93</v>
      </c>
      <c r="K131" s="40">
        <v>2.9</v>
      </c>
      <c r="L131" s="41">
        <v>2014</v>
      </c>
      <c r="M131" s="42">
        <v>34428</v>
      </c>
      <c r="N131" s="37" t="s">
        <v>122</v>
      </c>
      <c r="O131" s="45" t="s">
        <v>128</v>
      </c>
      <c r="P131" s="37" t="s">
        <v>416</v>
      </c>
      <c r="Q131" s="37" t="s">
        <v>125</v>
      </c>
    </row>
    <row r="132" spans="1:17" ht="15" customHeight="1" x14ac:dyDescent="0.35">
      <c r="A132" s="30" t="s">
        <v>417</v>
      </c>
      <c r="B132" s="31">
        <v>46241</v>
      </c>
      <c r="C132" s="30" t="s">
        <v>52</v>
      </c>
      <c r="D132" s="30">
        <v>8</v>
      </c>
      <c r="E132" s="32" t="s">
        <v>163</v>
      </c>
      <c r="F132" s="32" t="s">
        <v>75</v>
      </c>
      <c r="G132" s="30" t="s">
        <v>113</v>
      </c>
      <c r="H132" s="32" t="s">
        <v>42</v>
      </c>
      <c r="I132" s="32" t="s">
        <v>132</v>
      </c>
      <c r="J132" s="30" t="s">
        <v>94</v>
      </c>
      <c r="K132" s="33">
        <v>15</v>
      </c>
      <c r="L132" s="34">
        <v>8230</v>
      </c>
      <c r="M132" s="35">
        <v>176820</v>
      </c>
      <c r="N132" s="30" t="s">
        <v>122</v>
      </c>
      <c r="O132" s="36" t="s">
        <v>116</v>
      </c>
      <c r="P132" s="30" t="s">
        <v>418</v>
      </c>
      <c r="Q132" s="30" t="s">
        <v>125</v>
      </c>
    </row>
    <row r="133" spans="1:17" ht="15" customHeight="1" x14ac:dyDescent="0.35">
      <c r="A133" s="37" t="s">
        <v>419</v>
      </c>
      <c r="B133" s="38">
        <v>46244</v>
      </c>
      <c r="C133" s="37" t="s">
        <v>52</v>
      </c>
      <c r="D133" s="37">
        <v>8</v>
      </c>
      <c r="E133" s="39" t="s">
        <v>204</v>
      </c>
      <c r="F133" s="39" t="s">
        <v>79</v>
      </c>
      <c r="G133" s="37" t="s">
        <v>173</v>
      </c>
      <c r="H133" s="39" t="s">
        <v>39</v>
      </c>
      <c r="I133" s="39" t="s">
        <v>212</v>
      </c>
      <c r="J133" s="37" t="s">
        <v>92</v>
      </c>
      <c r="K133" s="40">
        <v>1.9</v>
      </c>
      <c r="L133" s="41">
        <v>1029</v>
      </c>
      <c r="M133" s="42">
        <v>19121</v>
      </c>
      <c r="N133" s="37" t="s">
        <v>115</v>
      </c>
      <c r="O133" s="49" t="s">
        <v>142</v>
      </c>
      <c r="P133" s="37" t="s">
        <v>420</v>
      </c>
      <c r="Q133" s="37" t="s">
        <v>125</v>
      </c>
    </row>
    <row r="134" spans="1:17" ht="15" customHeight="1" x14ac:dyDescent="0.35">
      <c r="A134" s="30" t="s">
        <v>421</v>
      </c>
      <c r="B134" s="31">
        <v>46245</v>
      </c>
      <c r="C134" s="30" t="s">
        <v>52</v>
      </c>
      <c r="D134" s="30">
        <v>8</v>
      </c>
      <c r="E134" s="32" t="s">
        <v>155</v>
      </c>
      <c r="F134" s="32" t="s">
        <v>75</v>
      </c>
      <c r="G134" s="30" t="s">
        <v>113</v>
      </c>
      <c r="H134" s="32" t="s">
        <v>33</v>
      </c>
      <c r="I134" s="32" t="s">
        <v>114</v>
      </c>
      <c r="J134" s="30" t="s">
        <v>93</v>
      </c>
      <c r="K134" s="33">
        <v>2.2999999999999998</v>
      </c>
      <c r="L134" s="34">
        <v>1702</v>
      </c>
      <c r="M134" s="35">
        <v>26703</v>
      </c>
      <c r="N134" s="30" t="s">
        <v>122</v>
      </c>
      <c r="O134" s="44" t="s">
        <v>128</v>
      </c>
      <c r="P134" s="30" t="s">
        <v>422</v>
      </c>
      <c r="Q134" s="30" t="s">
        <v>130</v>
      </c>
    </row>
    <row r="135" spans="1:17" ht="15" customHeight="1" x14ac:dyDescent="0.35">
      <c r="A135" s="37" t="s">
        <v>423</v>
      </c>
      <c r="B135" s="38">
        <v>46246</v>
      </c>
      <c r="C135" s="37" t="s">
        <v>52</v>
      </c>
      <c r="D135" s="37">
        <v>8</v>
      </c>
      <c r="E135" s="39" t="s">
        <v>155</v>
      </c>
      <c r="F135" s="39" t="s">
        <v>75</v>
      </c>
      <c r="G135" s="37" t="s">
        <v>113</v>
      </c>
      <c r="H135" s="39" t="s">
        <v>49</v>
      </c>
      <c r="I135" s="39" t="s">
        <v>194</v>
      </c>
      <c r="J135" s="37" t="s">
        <v>92</v>
      </c>
      <c r="K135" s="40">
        <v>18.899999999999999</v>
      </c>
      <c r="L135" s="41">
        <v>21110</v>
      </c>
      <c r="M135" s="42">
        <v>218196</v>
      </c>
      <c r="N135" s="37" t="s">
        <v>122</v>
      </c>
      <c r="O135" s="43" t="s">
        <v>123</v>
      </c>
      <c r="P135" s="37" t="s">
        <v>424</v>
      </c>
      <c r="Q135" s="37" t="s">
        <v>139</v>
      </c>
    </row>
    <row r="136" spans="1:17" ht="15" customHeight="1" x14ac:dyDescent="0.35">
      <c r="A136" s="30" t="s">
        <v>425</v>
      </c>
      <c r="B136" s="31">
        <v>46247</v>
      </c>
      <c r="C136" s="30" t="s">
        <v>52</v>
      </c>
      <c r="D136" s="30">
        <v>8</v>
      </c>
      <c r="E136" s="32" t="s">
        <v>149</v>
      </c>
      <c r="F136" s="32" t="s">
        <v>75</v>
      </c>
      <c r="G136" s="30" t="s">
        <v>113</v>
      </c>
      <c r="H136" s="32" t="s">
        <v>44</v>
      </c>
      <c r="I136" s="32" t="s">
        <v>201</v>
      </c>
      <c r="J136" s="30" t="s">
        <v>93</v>
      </c>
      <c r="K136" s="33">
        <v>5.7</v>
      </c>
      <c r="L136" s="34">
        <v>6730</v>
      </c>
      <c r="M136" s="35">
        <v>57098</v>
      </c>
      <c r="N136" s="30" t="s">
        <v>122</v>
      </c>
      <c r="O136" s="44" t="s">
        <v>128</v>
      </c>
      <c r="P136" s="30" t="s">
        <v>426</v>
      </c>
      <c r="Q136" s="30" t="s">
        <v>139</v>
      </c>
    </row>
    <row r="137" spans="1:17" ht="15" customHeight="1" x14ac:dyDescent="0.35">
      <c r="A137" s="37" t="s">
        <v>427</v>
      </c>
      <c r="B137" s="38">
        <v>46247</v>
      </c>
      <c r="C137" s="37" t="s">
        <v>52</v>
      </c>
      <c r="D137" s="37">
        <v>8</v>
      </c>
      <c r="E137" s="39" t="s">
        <v>172</v>
      </c>
      <c r="F137" s="39" t="s">
        <v>79</v>
      </c>
      <c r="G137" s="37" t="s">
        <v>173</v>
      </c>
      <c r="H137" s="39" t="s">
        <v>64</v>
      </c>
      <c r="I137" s="39" t="s">
        <v>201</v>
      </c>
      <c r="J137" s="37" t="s">
        <v>94</v>
      </c>
      <c r="K137" s="40">
        <v>0.9</v>
      </c>
      <c r="L137" s="41">
        <v>535</v>
      </c>
      <c r="M137" s="42">
        <v>8006</v>
      </c>
      <c r="N137" s="37" t="s">
        <v>122</v>
      </c>
      <c r="O137" s="49" t="s">
        <v>142</v>
      </c>
      <c r="P137" s="37" t="s">
        <v>428</v>
      </c>
      <c r="Q137" s="37" t="s">
        <v>139</v>
      </c>
    </row>
    <row r="138" spans="1:17" ht="15" customHeight="1" x14ac:dyDescent="0.35">
      <c r="A138" s="30" t="s">
        <v>429</v>
      </c>
      <c r="B138" s="31">
        <v>46250</v>
      </c>
      <c r="C138" s="30" t="s">
        <v>52</v>
      </c>
      <c r="D138" s="30">
        <v>8</v>
      </c>
      <c r="E138" s="32" t="s">
        <v>159</v>
      </c>
      <c r="F138" s="32" t="s">
        <v>77</v>
      </c>
      <c r="G138" s="30" t="s">
        <v>113</v>
      </c>
      <c r="H138" s="32" t="s">
        <v>42</v>
      </c>
      <c r="I138" s="32" t="s">
        <v>132</v>
      </c>
      <c r="J138" s="30" t="s">
        <v>93</v>
      </c>
      <c r="K138" s="33">
        <v>4.8</v>
      </c>
      <c r="L138" s="34">
        <v>5055</v>
      </c>
      <c r="M138" s="35">
        <v>39228</v>
      </c>
      <c r="N138" s="30" t="s">
        <v>122</v>
      </c>
      <c r="O138" s="44" t="s">
        <v>128</v>
      </c>
      <c r="P138" s="30" t="s">
        <v>430</v>
      </c>
      <c r="Q138" s="30" t="s">
        <v>139</v>
      </c>
    </row>
    <row r="139" spans="1:17" ht="15" customHeight="1" x14ac:dyDescent="0.35">
      <c r="A139" s="37" t="s">
        <v>431</v>
      </c>
      <c r="B139" s="38">
        <v>46251</v>
      </c>
      <c r="C139" s="37" t="s">
        <v>52</v>
      </c>
      <c r="D139" s="37">
        <v>8</v>
      </c>
      <c r="E139" s="39" t="s">
        <v>163</v>
      </c>
      <c r="F139" s="39" t="s">
        <v>75</v>
      </c>
      <c r="G139" s="37" t="s">
        <v>113</v>
      </c>
      <c r="H139" s="39" t="s">
        <v>39</v>
      </c>
      <c r="I139" s="39" t="s">
        <v>174</v>
      </c>
      <c r="J139" s="37" t="s">
        <v>94</v>
      </c>
      <c r="K139" s="40">
        <v>0.9</v>
      </c>
      <c r="L139" s="41">
        <v>720</v>
      </c>
      <c r="M139" s="42">
        <v>8324</v>
      </c>
      <c r="N139" s="37" t="s">
        <v>122</v>
      </c>
      <c r="O139" s="49" t="s">
        <v>142</v>
      </c>
      <c r="P139" s="37" t="s">
        <v>432</v>
      </c>
      <c r="Q139" s="37" t="s">
        <v>118</v>
      </c>
    </row>
    <row r="140" spans="1:17" ht="15" customHeight="1" x14ac:dyDescent="0.35">
      <c r="A140" s="30" t="s">
        <v>433</v>
      </c>
      <c r="B140" s="31">
        <v>46251</v>
      </c>
      <c r="C140" s="30" t="s">
        <v>52</v>
      </c>
      <c r="D140" s="30">
        <v>8</v>
      </c>
      <c r="E140" s="32" t="s">
        <v>149</v>
      </c>
      <c r="F140" s="32" t="s">
        <v>75</v>
      </c>
      <c r="G140" s="30" t="s">
        <v>113</v>
      </c>
      <c r="H140" s="32" t="s">
        <v>39</v>
      </c>
      <c r="I140" s="32" t="s">
        <v>146</v>
      </c>
      <c r="J140" s="30" t="s">
        <v>93</v>
      </c>
      <c r="K140" s="33">
        <v>1.4</v>
      </c>
      <c r="L140" s="34">
        <v>919</v>
      </c>
      <c r="M140" s="35">
        <v>10269</v>
      </c>
      <c r="N140" s="30" t="s">
        <v>122</v>
      </c>
      <c r="O140" s="47" t="s">
        <v>142</v>
      </c>
      <c r="P140" s="30" t="s">
        <v>434</v>
      </c>
      <c r="Q140" s="30" t="s">
        <v>130</v>
      </c>
    </row>
    <row r="141" spans="1:17" ht="15" customHeight="1" x14ac:dyDescent="0.35">
      <c r="A141" s="37" t="s">
        <v>435</v>
      </c>
      <c r="B141" s="38">
        <v>46252</v>
      </c>
      <c r="C141" s="37" t="s">
        <v>52</v>
      </c>
      <c r="D141" s="37">
        <v>8</v>
      </c>
      <c r="E141" s="39" t="s">
        <v>177</v>
      </c>
      <c r="F141" s="39" t="s">
        <v>80</v>
      </c>
      <c r="G141" s="37" t="s">
        <v>113</v>
      </c>
      <c r="H141" s="39" t="s">
        <v>51</v>
      </c>
      <c r="I141" s="39" t="s">
        <v>194</v>
      </c>
      <c r="J141" s="37" t="s">
        <v>93</v>
      </c>
      <c r="K141" s="40">
        <v>1.6</v>
      </c>
      <c r="L141" s="41">
        <v>1063</v>
      </c>
      <c r="M141" s="42">
        <v>17746</v>
      </c>
      <c r="N141" s="37" t="s">
        <v>122</v>
      </c>
      <c r="O141" s="49" t="s">
        <v>142</v>
      </c>
      <c r="P141" s="37" t="s">
        <v>436</v>
      </c>
      <c r="Q141" s="37" t="s">
        <v>118</v>
      </c>
    </row>
    <row r="142" spans="1:17" ht="15" customHeight="1" x14ac:dyDescent="0.35">
      <c r="A142" s="30" t="s">
        <v>437</v>
      </c>
      <c r="B142" s="31">
        <v>46253</v>
      </c>
      <c r="C142" s="30" t="s">
        <v>52</v>
      </c>
      <c r="D142" s="30">
        <v>8</v>
      </c>
      <c r="E142" s="32" t="s">
        <v>149</v>
      </c>
      <c r="F142" s="32" t="s">
        <v>75</v>
      </c>
      <c r="G142" s="30" t="s">
        <v>113</v>
      </c>
      <c r="H142" s="32" t="s">
        <v>53</v>
      </c>
      <c r="I142" s="32" t="s">
        <v>132</v>
      </c>
      <c r="J142" s="30" t="s">
        <v>94</v>
      </c>
      <c r="K142" s="33">
        <v>0.6</v>
      </c>
      <c r="L142" s="34">
        <v>646</v>
      </c>
      <c r="M142" s="35">
        <v>4422</v>
      </c>
      <c r="N142" s="30" t="s">
        <v>122</v>
      </c>
      <c r="O142" s="47" t="s">
        <v>142</v>
      </c>
      <c r="P142" s="30" t="s">
        <v>438</v>
      </c>
      <c r="Q142" s="30" t="s">
        <v>125</v>
      </c>
    </row>
    <row r="143" spans="1:17" ht="15" customHeight="1" x14ac:dyDescent="0.35">
      <c r="A143" s="37" t="s">
        <v>439</v>
      </c>
      <c r="B143" s="38">
        <v>46253</v>
      </c>
      <c r="C143" s="37" t="s">
        <v>52</v>
      </c>
      <c r="D143" s="37">
        <v>8</v>
      </c>
      <c r="E143" s="39" t="s">
        <v>204</v>
      </c>
      <c r="F143" s="39" t="s">
        <v>79</v>
      </c>
      <c r="G143" s="37" t="s">
        <v>173</v>
      </c>
      <c r="H143" s="39" t="s">
        <v>53</v>
      </c>
      <c r="I143" s="39" t="s">
        <v>194</v>
      </c>
      <c r="J143" s="37" t="s">
        <v>93</v>
      </c>
      <c r="K143" s="40">
        <v>1</v>
      </c>
      <c r="L143" s="41">
        <v>829</v>
      </c>
      <c r="M143" s="42">
        <v>8052</v>
      </c>
      <c r="N143" s="37" t="s">
        <v>122</v>
      </c>
      <c r="O143" s="49" t="s">
        <v>142</v>
      </c>
      <c r="P143" s="37" t="s">
        <v>440</v>
      </c>
      <c r="Q143" s="37" t="s">
        <v>118</v>
      </c>
    </row>
    <row r="144" spans="1:17" ht="15" customHeight="1" x14ac:dyDescent="0.35">
      <c r="A144" s="30" t="s">
        <v>441</v>
      </c>
      <c r="B144" s="31">
        <v>46255</v>
      </c>
      <c r="C144" s="30" t="s">
        <v>52</v>
      </c>
      <c r="D144" s="30">
        <v>8</v>
      </c>
      <c r="E144" s="32" t="s">
        <v>135</v>
      </c>
      <c r="F144" s="32" t="s">
        <v>75</v>
      </c>
      <c r="G144" s="30" t="s">
        <v>113</v>
      </c>
      <c r="H144" s="32" t="s">
        <v>49</v>
      </c>
      <c r="I144" s="32" t="s">
        <v>156</v>
      </c>
      <c r="J144" s="30" t="s">
        <v>94</v>
      </c>
      <c r="K144" s="33">
        <v>2</v>
      </c>
      <c r="L144" s="34">
        <v>1820</v>
      </c>
      <c r="M144" s="35">
        <v>14453</v>
      </c>
      <c r="N144" s="30" t="s">
        <v>115</v>
      </c>
      <c r="O144" s="44" t="s">
        <v>128</v>
      </c>
      <c r="P144" s="30" t="s">
        <v>442</v>
      </c>
      <c r="Q144" s="30" t="s">
        <v>130</v>
      </c>
    </row>
    <row r="145" spans="1:17" ht="15" customHeight="1" x14ac:dyDescent="0.35">
      <c r="A145" s="37" t="s">
        <v>443</v>
      </c>
      <c r="B145" s="38">
        <v>46255</v>
      </c>
      <c r="C145" s="37" t="s">
        <v>52</v>
      </c>
      <c r="D145" s="37">
        <v>8</v>
      </c>
      <c r="E145" s="39" t="s">
        <v>159</v>
      </c>
      <c r="F145" s="39" t="s">
        <v>77</v>
      </c>
      <c r="G145" s="37" t="s">
        <v>113</v>
      </c>
      <c r="H145" s="39" t="s">
        <v>33</v>
      </c>
      <c r="I145" s="39" t="s">
        <v>146</v>
      </c>
      <c r="J145" s="37" t="s">
        <v>92</v>
      </c>
      <c r="K145" s="40">
        <v>24.3</v>
      </c>
      <c r="L145" s="41">
        <v>19131</v>
      </c>
      <c r="M145" s="42">
        <v>249908</v>
      </c>
      <c r="N145" s="37" t="s">
        <v>122</v>
      </c>
      <c r="O145" s="43" t="s">
        <v>123</v>
      </c>
      <c r="P145" s="37" t="s">
        <v>444</v>
      </c>
      <c r="Q145" s="37" t="s">
        <v>118</v>
      </c>
    </row>
    <row r="146" spans="1:17" ht="15" customHeight="1" x14ac:dyDescent="0.35">
      <c r="A146" s="30" t="s">
        <v>445</v>
      </c>
      <c r="B146" s="31">
        <v>46256</v>
      </c>
      <c r="C146" s="30" t="s">
        <v>52</v>
      </c>
      <c r="D146" s="30">
        <v>8</v>
      </c>
      <c r="E146" s="32" t="s">
        <v>112</v>
      </c>
      <c r="F146" s="32" t="s">
        <v>77</v>
      </c>
      <c r="G146" s="30" t="s">
        <v>113</v>
      </c>
      <c r="H146" s="32" t="s">
        <v>62</v>
      </c>
      <c r="I146" s="32" t="s">
        <v>194</v>
      </c>
      <c r="J146" s="30" t="s">
        <v>94</v>
      </c>
      <c r="K146" s="33">
        <v>4.2</v>
      </c>
      <c r="L146" s="34">
        <v>2738</v>
      </c>
      <c r="M146" s="35">
        <v>37565</v>
      </c>
      <c r="N146" s="30" t="s">
        <v>115</v>
      </c>
      <c r="O146" s="44" t="s">
        <v>128</v>
      </c>
      <c r="P146" s="30" t="s">
        <v>446</v>
      </c>
      <c r="Q146" s="30" t="s">
        <v>125</v>
      </c>
    </row>
    <row r="147" spans="1:17" ht="15" customHeight="1" x14ac:dyDescent="0.35">
      <c r="A147" s="37" t="s">
        <v>447</v>
      </c>
      <c r="B147" s="38">
        <v>46257</v>
      </c>
      <c r="C147" s="37" t="s">
        <v>52</v>
      </c>
      <c r="D147" s="37">
        <v>8</v>
      </c>
      <c r="E147" s="39" t="s">
        <v>155</v>
      </c>
      <c r="F147" s="39" t="s">
        <v>75</v>
      </c>
      <c r="G147" s="37" t="s">
        <v>113</v>
      </c>
      <c r="H147" s="39" t="s">
        <v>55</v>
      </c>
      <c r="I147" s="39" t="s">
        <v>146</v>
      </c>
      <c r="J147" s="37" t="s">
        <v>93</v>
      </c>
      <c r="K147" s="40">
        <v>9.3000000000000007</v>
      </c>
      <c r="L147" s="41">
        <v>9396</v>
      </c>
      <c r="M147" s="42">
        <v>101195</v>
      </c>
      <c r="N147" s="37" t="s">
        <v>122</v>
      </c>
      <c r="O147" s="46" t="s">
        <v>116</v>
      </c>
      <c r="P147" s="37" t="s">
        <v>448</v>
      </c>
      <c r="Q147" s="37" t="s">
        <v>130</v>
      </c>
    </row>
    <row r="148" spans="1:17" ht="15" customHeight="1" x14ac:dyDescent="0.35">
      <c r="A148" s="30" t="s">
        <v>449</v>
      </c>
      <c r="B148" s="31">
        <v>46259</v>
      </c>
      <c r="C148" s="30" t="s">
        <v>52</v>
      </c>
      <c r="D148" s="30">
        <v>8</v>
      </c>
      <c r="E148" s="32" t="s">
        <v>248</v>
      </c>
      <c r="F148" s="32" t="s">
        <v>79</v>
      </c>
      <c r="G148" s="30" t="s">
        <v>173</v>
      </c>
      <c r="H148" s="32" t="s">
        <v>55</v>
      </c>
      <c r="I148" s="32" t="s">
        <v>174</v>
      </c>
      <c r="J148" s="30" t="s">
        <v>93</v>
      </c>
      <c r="K148" s="33">
        <v>1.1000000000000001</v>
      </c>
      <c r="L148" s="34">
        <v>676</v>
      </c>
      <c r="M148" s="35">
        <v>11272</v>
      </c>
      <c r="N148" s="30" t="s">
        <v>122</v>
      </c>
      <c r="O148" s="47" t="s">
        <v>142</v>
      </c>
      <c r="P148" s="30" t="s">
        <v>450</v>
      </c>
      <c r="Q148" s="30" t="s">
        <v>130</v>
      </c>
    </row>
    <row r="149" spans="1:17" ht="15" customHeight="1" x14ac:dyDescent="0.35">
      <c r="A149" s="37" t="s">
        <v>451</v>
      </c>
      <c r="B149" s="38">
        <v>46261</v>
      </c>
      <c r="C149" s="37" t="s">
        <v>52</v>
      </c>
      <c r="D149" s="37">
        <v>8</v>
      </c>
      <c r="E149" s="39" t="s">
        <v>155</v>
      </c>
      <c r="F149" s="39" t="s">
        <v>75</v>
      </c>
      <c r="G149" s="37" t="s">
        <v>113</v>
      </c>
      <c r="H149" s="39" t="s">
        <v>49</v>
      </c>
      <c r="I149" s="39" t="s">
        <v>121</v>
      </c>
      <c r="J149" s="37" t="s">
        <v>92</v>
      </c>
      <c r="K149" s="40">
        <v>1.8</v>
      </c>
      <c r="L149" s="41">
        <v>1851</v>
      </c>
      <c r="M149" s="42">
        <v>15563</v>
      </c>
      <c r="N149" s="37" t="s">
        <v>122</v>
      </c>
      <c r="O149" s="49" t="s">
        <v>142</v>
      </c>
      <c r="P149" s="37" t="s">
        <v>452</v>
      </c>
      <c r="Q149" s="37" t="s">
        <v>118</v>
      </c>
    </row>
    <row r="150" spans="1:17" ht="15" customHeight="1" x14ac:dyDescent="0.35">
      <c r="A150" s="30" t="s">
        <v>453</v>
      </c>
      <c r="B150" s="31">
        <v>46267</v>
      </c>
      <c r="C150" s="30" t="s">
        <v>54</v>
      </c>
      <c r="D150" s="30">
        <v>9</v>
      </c>
      <c r="E150" s="32" t="s">
        <v>159</v>
      </c>
      <c r="F150" s="32" t="s">
        <v>77</v>
      </c>
      <c r="G150" s="30" t="s">
        <v>113</v>
      </c>
      <c r="H150" s="32" t="s">
        <v>55</v>
      </c>
      <c r="I150" s="32" t="s">
        <v>166</v>
      </c>
      <c r="J150" s="30" t="s">
        <v>92</v>
      </c>
      <c r="K150" s="33">
        <v>33.6</v>
      </c>
      <c r="L150" s="34">
        <v>23898</v>
      </c>
      <c r="M150" s="35">
        <v>342485</v>
      </c>
      <c r="N150" s="30" t="s">
        <v>115</v>
      </c>
      <c r="O150" s="48" t="s">
        <v>123</v>
      </c>
      <c r="P150" s="30" t="s">
        <v>454</v>
      </c>
      <c r="Q150" s="30" t="s">
        <v>130</v>
      </c>
    </row>
    <row r="151" spans="1:17" ht="15" customHeight="1" x14ac:dyDescent="0.35">
      <c r="A151" s="37" t="s">
        <v>455</v>
      </c>
      <c r="B151" s="38">
        <v>46268</v>
      </c>
      <c r="C151" s="37" t="s">
        <v>54</v>
      </c>
      <c r="D151" s="37">
        <v>9</v>
      </c>
      <c r="E151" s="39" t="s">
        <v>163</v>
      </c>
      <c r="F151" s="39" t="s">
        <v>75</v>
      </c>
      <c r="G151" s="37" t="s">
        <v>113</v>
      </c>
      <c r="H151" s="39" t="s">
        <v>42</v>
      </c>
      <c r="I151" s="39" t="s">
        <v>160</v>
      </c>
      <c r="J151" s="37" t="s">
        <v>93</v>
      </c>
      <c r="K151" s="40">
        <v>0.9</v>
      </c>
      <c r="L151" s="41">
        <v>596</v>
      </c>
      <c r="M151" s="42">
        <v>10096</v>
      </c>
      <c r="N151" s="37" t="s">
        <v>122</v>
      </c>
      <c r="O151" s="49" t="s">
        <v>142</v>
      </c>
      <c r="P151" s="37" t="s">
        <v>456</v>
      </c>
      <c r="Q151" s="37" t="s">
        <v>118</v>
      </c>
    </row>
    <row r="152" spans="1:17" ht="15" customHeight="1" x14ac:dyDescent="0.35">
      <c r="A152" s="30" t="s">
        <v>457</v>
      </c>
      <c r="B152" s="31">
        <v>46268</v>
      </c>
      <c r="C152" s="30" t="s">
        <v>54</v>
      </c>
      <c r="D152" s="30">
        <v>9</v>
      </c>
      <c r="E152" s="32" t="s">
        <v>152</v>
      </c>
      <c r="F152" s="32" t="s">
        <v>78</v>
      </c>
      <c r="G152" s="30" t="s">
        <v>113</v>
      </c>
      <c r="H152" s="32" t="s">
        <v>57</v>
      </c>
      <c r="I152" s="32" t="s">
        <v>194</v>
      </c>
      <c r="J152" s="30" t="s">
        <v>93</v>
      </c>
      <c r="K152" s="33">
        <v>5.9</v>
      </c>
      <c r="L152" s="34">
        <v>5874</v>
      </c>
      <c r="M152" s="35">
        <v>68482</v>
      </c>
      <c r="N152" s="30" t="s">
        <v>122</v>
      </c>
      <c r="O152" s="44" t="s">
        <v>128</v>
      </c>
      <c r="P152" s="30" t="s">
        <v>458</v>
      </c>
      <c r="Q152" s="30" t="s">
        <v>125</v>
      </c>
    </row>
    <row r="153" spans="1:17" ht="15" customHeight="1" x14ac:dyDescent="0.35">
      <c r="A153" s="37" t="s">
        <v>459</v>
      </c>
      <c r="B153" s="38">
        <v>46268</v>
      </c>
      <c r="C153" s="37" t="s">
        <v>54</v>
      </c>
      <c r="D153" s="37">
        <v>9</v>
      </c>
      <c r="E153" s="39" t="s">
        <v>145</v>
      </c>
      <c r="F153" s="39" t="s">
        <v>84</v>
      </c>
      <c r="G153" s="37" t="s">
        <v>113</v>
      </c>
      <c r="H153" s="39" t="s">
        <v>57</v>
      </c>
      <c r="I153" s="39" t="s">
        <v>166</v>
      </c>
      <c r="J153" s="37" t="s">
        <v>94</v>
      </c>
      <c r="K153" s="40">
        <v>1</v>
      </c>
      <c r="L153" s="41">
        <v>533</v>
      </c>
      <c r="M153" s="42">
        <v>11744</v>
      </c>
      <c r="N153" s="37" t="s">
        <v>122</v>
      </c>
      <c r="O153" s="49" t="s">
        <v>142</v>
      </c>
      <c r="P153" s="37" t="s">
        <v>460</v>
      </c>
      <c r="Q153" s="37" t="s">
        <v>118</v>
      </c>
    </row>
    <row r="154" spans="1:17" ht="15" customHeight="1" x14ac:dyDescent="0.35">
      <c r="A154" s="30" t="s">
        <v>461</v>
      </c>
      <c r="B154" s="31">
        <v>46268</v>
      </c>
      <c r="C154" s="30" t="s">
        <v>54</v>
      </c>
      <c r="D154" s="30">
        <v>9</v>
      </c>
      <c r="E154" s="32" t="s">
        <v>155</v>
      </c>
      <c r="F154" s="32" t="s">
        <v>75</v>
      </c>
      <c r="G154" s="30" t="s">
        <v>113</v>
      </c>
      <c r="H154" s="32" t="s">
        <v>33</v>
      </c>
      <c r="I154" s="32" t="s">
        <v>121</v>
      </c>
      <c r="J154" s="30" t="s">
        <v>92</v>
      </c>
      <c r="K154" s="33">
        <v>4.8</v>
      </c>
      <c r="L154" s="34">
        <v>3311</v>
      </c>
      <c r="M154" s="35">
        <v>50045</v>
      </c>
      <c r="N154" s="30" t="s">
        <v>122</v>
      </c>
      <c r="O154" s="44" t="s">
        <v>128</v>
      </c>
      <c r="P154" s="30" t="s">
        <v>462</v>
      </c>
      <c r="Q154" s="30" t="s">
        <v>130</v>
      </c>
    </row>
    <row r="155" spans="1:17" ht="15" customHeight="1" x14ac:dyDescent="0.35">
      <c r="A155" s="37" t="s">
        <v>463</v>
      </c>
      <c r="B155" s="38">
        <v>46269</v>
      </c>
      <c r="C155" s="37" t="s">
        <v>54</v>
      </c>
      <c r="D155" s="37">
        <v>9</v>
      </c>
      <c r="E155" s="39" t="s">
        <v>152</v>
      </c>
      <c r="F155" s="39" t="s">
        <v>78</v>
      </c>
      <c r="G155" s="37" t="s">
        <v>113</v>
      </c>
      <c r="H155" s="39" t="s">
        <v>63</v>
      </c>
      <c r="I155" s="39" t="s">
        <v>114</v>
      </c>
      <c r="J155" s="37" t="s">
        <v>92</v>
      </c>
      <c r="K155" s="40">
        <v>1.7</v>
      </c>
      <c r="L155" s="41">
        <v>1800</v>
      </c>
      <c r="M155" s="42">
        <v>15894</v>
      </c>
      <c r="N155" s="37" t="s">
        <v>122</v>
      </c>
      <c r="O155" s="49" t="s">
        <v>142</v>
      </c>
      <c r="P155" s="37" t="s">
        <v>464</v>
      </c>
      <c r="Q155" s="37" t="s">
        <v>130</v>
      </c>
    </row>
    <row r="156" spans="1:17" ht="15" customHeight="1" x14ac:dyDescent="0.35">
      <c r="A156" s="30" t="s">
        <v>465</v>
      </c>
      <c r="B156" s="31">
        <v>46270</v>
      </c>
      <c r="C156" s="30" t="s">
        <v>54</v>
      </c>
      <c r="D156" s="30">
        <v>9</v>
      </c>
      <c r="E156" s="32" t="s">
        <v>120</v>
      </c>
      <c r="F156" s="32" t="s">
        <v>77</v>
      </c>
      <c r="G156" s="30" t="s">
        <v>113</v>
      </c>
      <c r="H156" s="32" t="s">
        <v>49</v>
      </c>
      <c r="I156" s="32" t="s">
        <v>174</v>
      </c>
      <c r="J156" s="30" t="s">
        <v>92</v>
      </c>
      <c r="K156" s="33">
        <v>2</v>
      </c>
      <c r="L156" s="34">
        <v>1788</v>
      </c>
      <c r="M156" s="35">
        <v>23681</v>
      </c>
      <c r="N156" s="30" t="s">
        <v>122</v>
      </c>
      <c r="O156" s="44" t="s">
        <v>128</v>
      </c>
      <c r="P156" s="30" t="s">
        <v>466</v>
      </c>
      <c r="Q156" s="30" t="s">
        <v>118</v>
      </c>
    </row>
    <row r="157" spans="1:17" ht="15" customHeight="1" x14ac:dyDescent="0.35">
      <c r="A157" s="37" t="s">
        <v>467</v>
      </c>
      <c r="B157" s="38">
        <v>46273</v>
      </c>
      <c r="C157" s="37" t="s">
        <v>54</v>
      </c>
      <c r="D157" s="37">
        <v>9</v>
      </c>
      <c r="E157" s="39" t="s">
        <v>149</v>
      </c>
      <c r="F157" s="39" t="s">
        <v>75</v>
      </c>
      <c r="G157" s="37" t="s">
        <v>113</v>
      </c>
      <c r="H157" s="39" t="s">
        <v>42</v>
      </c>
      <c r="I157" s="39" t="s">
        <v>141</v>
      </c>
      <c r="J157" s="37" t="s">
        <v>94</v>
      </c>
      <c r="K157" s="40">
        <v>1.5</v>
      </c>
      <c r="L157" s="41">
        <v>1140</v>
      </c>
      <c r="M157" s="42">
        <v>13484</v>
      </c>
      <c r="N157" s="37" t="s">
        <v>122</v>
      </c>
      <c r="O157" s="49" t="s">
        <v>142</v>
      </c>
      <c r="P157" s="37" t="s">
        <v>468</v>
      </c>
      <c r="Q157" s="37" t="s">
        <v>118</v>
      </c>
    </row>
    <row r="158" spans="1:17" ht="15" customHeight="1" x14ac:dyDescent="0.35">
      <c r="A158" s="30" t="s">
        <v>469</v>
      </c>
      <c r="B158" s="31">
        <v>46276</v>
      </c>
      <c r="C158" s="30" t="s">
        <v>54</v>
      </c>
      <c r="D158" s="30">
        <v>9</v>
      </c>
      <c r="E158" s="32" t="s">
        <v>163</v>
      </c>
      <c r="F158" s="32" t="s">
        <v>75</v>
      </c>
      <c r="G158" s="30" t="s">
        <v>113</v>
      </c>
      <c r="H158" s="32" t="s">
        <v>39</v>
      </c>
      <c r="I158" s="32" t="s">
        <v>132</v>
      </c>
      <c r="J158" s="30" t="s">
        <v>93</v>
      </c>
      <c r="K158" s="33">
        <v>5</v>
      </c>
      <c r="L158" s="34">
        <v>3364</v>
      </c>
      <c r="M158" s="35">
        <v>48524</v>
      </c>
      <c r="N158" s="30" t="s">
        <v>115</v>
      </c>
      <c r="O158" s="44" t="s">
        <v>128</v>
      </c>
      <c r="P158" s="30" t="s">
        <v>470</v>
      </c>
      <c r="Q158" s="30" t="s">
        <v>125</v>
      </c>
    </row>
    <row r="159" spans="1:17" ht="15" customHeight="1" x14ac:dyDescent="0.35">
      <c r="A159" s="37" t="s">
        <v>471</v>
      </c>
      <c r="B159" s="38">
        <v>46279</v>
      </c>
      <c r="C159" s="37" t="s">
        <v>54</v>
      </c>
      <c r="D159" s="37">
        <v>9</v>
      </c>
      <c r="E159" s="39" t="s">
        <v>135</v>
      </c>
      <c r="F159" s="39" t="s">
        <v>75</v>
      </c>
      <c r="G159" s="37" t="s">
        <v>113</v>
      </c>
      <c r="H159" s="39" t="s">
        <v>51</v>
      </c>
      <c r="I159" s="39" t="s">
        <v>201</v>
      </c>
      <c r="J159" s="37" t="s">
        <v>93</v>
      </c>
      <c r="K159" s="40">
        <v>13.2</v>
      </c>
      <c r="L159" s="41">
        <v>14609</v>
      </c>
      <c r="M159" s="42">
        <v>112762</v>
      </c>
      <c r="N159" s="37" t="s">
        <v>122</v>
      </c>
      <c r="O159" s="46" t="s">
        <v>116</v>
      </c>
      <c r="P159" s="37" t="s">
        <v>472</v>
      </c>
      <c r="Q159" s="37" t="s">
        <v>130</v>
      </c>
    </row>
    <row r="160" spans="1:17" ht="15" customHeight="1" x14ac:dyDescent="0.35">
      <c r="A160" s="30" t="s">
        <v>473</v>
      </c>
      <c r="B160" s="31">
        <v>46279</v>
      </c>
      <c r="C160" s="30" t="s">
        <v>54</v>
      </c>
      <c r="D160" s="30">
        <v>9</v>
      </c>
      <c r="E160" s="32" t="s">
        <v>177</v>
      </c>
      <c r="F160" s="32" t="s">
        <v>80</v>
      </c>
      <c r="G160" s="30" t="s">
        <v>113</v>
      </c>
      <c r="H160" s="32" t="s">
        <v>51</v>
      </c>
      <c r="I160" s="32" t="s">
        <v>174</v>
      </c>
      <c r="J160" s="30" t="s">
        <v>94</v>
      </c>
      <c r="K160" s="33">
        <v>5.8</v>
      </c>
      <c r="L160" s="34">
        <v>2950</v>
      </c>
      <c r="M160" s="35">
        <v>53227</v>
      </c>
      <c r="N160" s="30" t="s">
        <v>122</v>
      </c>
      <c r="O160" s="44" t="s">
        <v>128</v>
      </c>
      <c r="P160" s="30" t="s">
        <v>474</v>
      </c>
      <c r="Q160" s="30" t="s">
        <v>125</v>
      </c>
    </row>
    <row r="161" spans="1:17" ht="15" customHeight="1" x14ac:dyDescent="0.35">
      <c r="A161" s="37" t="s">
        <v>475</v>
      </c>
      <c r="B161" s="38">
        <v>46280</v>
      </c>
      <c r="C161" s="37" t="s">
        <v>54</v>
      </c>
      <c r="D161" s="37">
        <v>9</v>
      </c>
      <c r="E161" s="39" t="s">
        <v>163</v>
      </c>
      <c r="F161" s="39" t="s">
        <v>75</v>
      </c>
      <c r="G161" s="37" t="s">
        <v>113</v>
      </c>
      <c r="H161" s="39" t="s">
        <v>55</v>
      </c>
      <c r="I161" s="39" t="s">
        <v>212</v>
      </c>
      <c r="J161" s="37" t="s">
        <v>94</v>
      </c>
      <c r="K161" s="40">
        <v>1.3</v>
      </c>
      <c r="L161" s="41">
        <v>768</v>
      </c>
      <c r="M161" s="42">
        <v>13330</v>
      </c>
      <c r="N161" s="37" t="s">
        <v>122</v>
      </c>
      <c r="O161" s="49" t="s">
        <v>142</v>
      </c>
      <c r="P161" s="37" t="s">
        <v>476</v>
      </c>
      <c r="Q161" s="37" t="s">
        <v>139</v>
      </c>
    </row>
    <row r="162" spans="1:17" ht="15" customHeight="1" x14ac:dyDescent="0.35">
      <c r="A162" s="30" t="s">
        <v>477</v>
      </c>
      <c r="B162" s="31">
        <v>46282</v>
      </c>
      <c r="C162" s="30" t="s">
        <v>54</v>
      </c>
      <c r="D162" s="30">
        <v>9</v>
      </c>
      <c r="E162" s="32" t="s">
        <v>112</v>
      </c>
      <c r="F162" s="32" t="s">
        <v>77</v>
      </c>
      <c r="G162" s="30" t="s">
        <v>113</v>
      </c>
      <c r="H162" s="32" t="s">
        <v>55</v>
      </c>
      <c r="I162" s="32" t="s">
        <v>132</v>
      </c>
      <c r="J162" s="30" t="s">
        <v>92</v>
      </c>
      <c r="K162" s="33">
        <v>3.5</v>
      </c>
      <c r="L162" s="34">
        <v>3752</v>
      </c>
      <c r="M162" s="35">
        <v>26692</v>
      </c>
      <c r="N162" s="30" t="s">
        <v>115</v>
      </c>
      <c r="O162" s="44" t="s">
        <v>128</v>
      </c>
      <c r="P162" s="30" t="s">
        <v>478</v>
      </c>
      <c r="Q162" s="30" t="s">
        <v>118</v>
      </c>
    </row>
    <row r="163" spans="1:17" ht="15" customHeight="1" x14ac:dyDescent="0.35">
      <c r="A163" s="37" t="s">
        <v>479</v>
      </c>
      <c r="B163" s="38">
        <v>46282</v>
      </c>
      <c r="C163" s="37" t="s">
        <v>54</v>
      </c>
      <c r="D163" s="37">
        <v>9</v>
      </c>
      <c r="E163" s="39" t="s">
        <v>135</v>
      </c>
      <c r="F163" s="39" t="s">
        <v>75</v>
      </c>
      <c r="G163" s="37" t="s">
        <v>113</v>
      </c>
      <c r="H163" s="39" t="s">
        <v>39</v>
      </c>
      <c r="I163" s="39" t="s">
        <v>174</v>
      </c>
      <c r="J163" s="37" t="s">
        <v>92</v>
      </c>
      <c r="K163" s="40">
        <v>4</v>
      </c>
      <c r="L163" s="41">
        <v>2045</v>
      </c>
      <c r="M163" s="42">
        <v>35851</v>
      </c>
      <c r="N163" s="37" t="s">
        <v>122</v>
      </c>
      <c r="O163" s="45" t="s">
        <v>128</v>
      </c>
      <c r="P163" s="37" t="s">
        <v>480</v>
      </c>
      <c r="Q163" s="37" t="s">
        <v>125</v>
      </c>
    </row>
    <row r="164" spans="1:17" ht="15" customHeight="1" x14ac:dyDescent="0.35">
      <c r="A164" s="30" t="s">
        <v>481</v>
      </c>
      <c r="B164" s="31">
        <v>46289</v>
      </c>
      <c r="C164" s="30" t="s">
        <v>54</v>
      </c>
      <c r="D164" s="30">
        <v>9</v>
      </c>
      <c r="E164" s="32" t="s">
        <v>182</v>
      </c>
      <c r="F164" s="32" t="s">
        <v>84</v>
      </c>
      <c r="G164" s="30" t="s">
        <v>113</v>
      </c>
      <c r="H164" s="32" t="s">
        <v>55</v>
      </c>
      <c r="I164" s="32" t="s">
        <v>146</v>
      </c>
      <c r="J164" s="30" t="s">
        <v>94</v>
      </c>
      <c r="K164" s="33">
        <v>1</v>
      </c>
      <c r="L164" s="34">
        <v>900</v>
      </c>
      <c r="M164" s="35">
        <v>7557</v>
      </c>
      <c r="N164" s="30" t="s">
        <v>122</v>
      </c>
      <c r="O164" s="47" t="s">
        <v>142</v>
      </c>
      <c r="P164" s="30" t="s">
        <v>482</v>
      </c>
      <c r="Q164" s="30" t="s">
        <v>125</v>
      </c>
    </row>
    <row r="165" spans="1:17" ht="15" customHeight="1" x14ac:dyDescent="0.35">
      <c r="A165" s="37" t="s">
        <v>483</v>
      </c>
      <c r="B165" s="38">
        <v>46290</v>
      </c>
      <c r="C165" s="37" t="s">
        <v>54</v>
      </c>
      <c r="D165" s="37">
        <v>9</v>
      </c>
      <c r="E165" s="39" t="s">
        <v>187</v>
      </c>
      <c r="F165" s="39" t="s">
        <v>80</v>
      </c>
      <c r="G165" s="37" t="s">
        <v>113</v>
      </c>
      <c r="H165" s="39" t="s">
        <v>39</v>
      </c>
      <c r="I165" s="39" t="s">
        <v>156</v>
      </c>
      <c r="J165" s="37" t="s">
        <v>94</v>
      </c>
      <c r="K165" s="40">
        <v>4.3</v>
      </c>
      <c r="L165" s="41">
        <v>4281</v>
      </c>
      <c r="M165" s="42">
        <v>35513</v>
      </c>
      <c r="N165" s="37" t="s">
        <v>122</v>
      </c>
      <c r="O165" s="45" t="s">
        <v>128</v>
      </c>
      <c r="P165" s="37" t="s">
        <v>484</v>
      </c>
      <c r="Q165" s="37" t="s">
        <v>139</v>
      </c>
    </row>
    <row r="166" spans="1:17" ht="15" customHeight="1" x14ac:dyDescent="0.35">
      <c r="A166" s="30" t="s">
        <v>485</v>
      </c>
      <c r="B166" s="31">
        <v>46292</v>
      </c>
      <c r="C166" s="30" t="s">
        <v>54</v>
      </c>
      <c r="D166" s="30">
        <v>9</v>
      </c>
      <c r="E166" s="32" t="s">
        <v>211</v>
      </c>
      <c r="F166" s="32" t="s">
        <v>78</v>
      </c>
      <c r="G166" s="30" t="s">
        <v>113</v>
      </c>
      <c r="H166" s="32" t="s">
        <v>63</v>
      </c>
      <c r="I166" s="32" t="s">
        <v>132</v>
      </c>
      <c r="J166" s="30" t="s">
        <v>93</v>
      </c>
      <c r="K166" s="33">
        <v>10.4</v>
      </c>
      <c r="L166" s="34">
        <v>8062</v>
      </c>
      <c r="M166" s="35">
        <v>106446</v>
      </c>
      <c r="N166" s="30" t="s">
        <v>122</v>
      </c>
      <c r="O166" s="36" t="s">
        <v>116</v>
      </c>
      <c r="P166" s="30" t="s">
        <v>486</v>
      </c>
      <c r="Q166" s="30" t="s">
        <v>139</v>
      </c>
    </row>
    <row r="167" spans="1:17" ht="15" customHeight="1" x14ac:dyDescent="0.35">
      <c r="A167" s="37" t="s">
        <v>487</v>
      </c>
      <c r="B167" s="38">
        <v>46292</v>
      </c>
      <c r="C167" s="37" t="s">
        <v>54</v>
      </c>
      <c r="D167" s="37">
        <v>9</v>
      </c>
      <c r="E167" s="39" t="s">
        <v>172</v>
      </c>
      <c r="F167" s="39" t="s">
        <v>79</v>
      </c>
      <c r="G167" s="37" t="s">
        <v>173</v>
      </c>
      <c r="H167" s="39" t="s">
        <v>49</v>
      </c>
      <c r="I167" s="39" t="s">
        <v>114</v>
      </c>
      <c r="J167" s="37" t="s">
        <v>94</v>
      </c>
      <c r="K167" s="40">
        <v>5</v>
      </c>
      <c r="L167" s="41">
        <v>2872</v>
      </c>
      <c r="M167" s="42">
        <v>44572</v>
      </c>
      <c r="N167" s="37" t="s">
        <v>122</v>
      </c>
      <c r="O167" s="45" t="s">
        <v>128</v>
      </c>
      <c r="P167" s="37" t="s">
        <v>488</v>
      </c>
      <c r="Q167" s="37" t="s">
        <v>130</v>
      </c>
    </row>
    <row r="168" spans="1:17" ht="15" customHeight="1" x14ac:dyDescent="0.35">
      <c r="A168" s="30" t="s">
        <v>489</v>
      </c>
      <c r="B168" s="31">
        <v>46292</v>
      </c>
      <c r="C168" s="30" t="s">
        <v>54</v>
      </c>
      <c r="D168" s="30">
        <v>9</v>
      </c>
      <c r="E168" s="32" t="s">
        <v>177</v>
      </c>
      <c r="F168" s="32" t="s">
        <v>80</v>
      </c>
      <c r="G168" s="30" t="s">
        <v>113</v>
      </c>
      <c r="H168" s="32" t="s">
        <v>37</v>
      </c>
      <c r="I168" s="32" t="s">
        <v>146</v>
      </c>
      <c r="J168" s="30" t="s">
        <v>93</v>
      </c>
      <c r="K168" s="33">
        <v>5.0999999999999996</v>
      </c>
      <c r="L168" s="34">
        <v>5816</v>
      </c>
      <c r="M168" s="35">
        <v>39056</v>
      </c>
      <c r="N168" s="30" t="s">
        <v>115</v>
      </c>
      <c r="O168" s="44" t="s">
        <v>128</v>
      </c>
      <c r="P168" s="30" t="s">
        <v>490</v>
      </c>
      <c r="Q168" s="30" t="s">
        <v>130</v>
      </c>
    </row>
    <row r="169" spans="1:17" ht="15" customHeight="1" x14ac:dyDescent="0.35">
      <c r="A169" s="37" t="s">
        <v>491</v>
      </c>
      <c r="B169" s="38">
        <v>46294</v>
      </c>
      <c r="C169" s="37" t="s">
        <v>54</v>
      </c>
      <c r="D169" s="37">
        <v>9</v>
      </c>
      <c r="E169" s="39" t="s">
        <v>163</v>
      </c>
      <c r="F169" s="39" t="s">
        <v>75</v>
      </c>
      <c r="G169" s="37" t="s">
        <v>113</v>
      </c>
      <c r="H169" s="39" t="s">
        <v>59</v>
      </c>
      <c r="I169" s="39" t="s">
        <v>212</v>
      </c>
      <c r="J169" s="37" t="s">
        <v>92</v>
      </c>
      <c r="K169" s="40">
        <v>11.4</v>
      </c>
      <c r="L169" s="41">
        <v>5632</v>
      </c>
      <c r="M169" s="42">
        <v>131536</v>
      </c>
      <c r="N169" s="37" t="s">
        <v>115</v>
      </c>
      <c r="O169" s="46" t="s">
        <v>116</v>
      </c>
      <c r="P169" s="37" t="s">
        <v>492</v>
      </c>
      <c r="Q169" s="37" t="s">
        <v>139</v>
      </c>
    </row>
    <row r="170" spans="1:17" ht="15" customHeight="1" x14ac:dyDescent="0.35">
      <c r="A170" s="30" t="s">
        <v>493</v>
      </c>
      <c r="B170" s="31">
        <v>46296</v>
      </c>
      <c r="C170" s="30" t="s">
        <v>56</v>
      </c>
      <c r="D170" s="30">
        <v>10</v>
      </c>
      <c r="E170" s="32" t="s">
        <v>187</v>
      </c>
      <c r="F170" s="32" t="s">
        <v>80</v>
      </c>
      <c r="G170" s="30" t="s">
        <v>113</v>
      </c>
      <c r="H170" s="32" t="s">
        <v>55</v>
      </c>
      <c r="I170" s="32" t="s">
        <v>121</v>
      </c>
      <c r="J170" s="30" t="s">
        <v>93</v>
      </c>
      <c r="K170" s="33">
        <v>5.4</v>
      </c>
      <c r="L170" s="34">
        <v>4515</v>
      </c>
      <c r="M170" s="35">
        <v>46756</v>
      </c>
      <c r="N170" s="30" t="s">
        <v>122</v>
      </c>
      <c r="O170" s="44" t="s">
        <v>128</v>
      </c>
      <c r="P170" s="30" t="s">
        <v>494</v>
      </c>
      <c r="Q170" s="30" t="s">
        <v>130</v>
      </c>
    </row>
    <row r="171" spans="1:17" ht="15" customHeight="1" x14ac:dyDescent="0.35">
      <c r="A171" s="37" t="s">
        <v>495</v>
      </c>
      <c r="B171" s="38">
        <v>46298</v>
      </c>
      <c r="C171" s="37" t="s">
        <v>56</v>
      </c>
      <c r="D171" s="37">
        <v>10</v>
      </c>
      <c r="E171" s="39" t="s">
        <v>163</v>
      </c>
      <c r="F171" s="39" t="s">
        <v>75</v>
      </c>
      <c r="G171" s="37" t="s">
        <v>113</v>
      </c>
      <c r="H171" s="39" t="s">
        <v>33</v>
      </c>
      <c r="I171" s="39" t="s">
        <v>212</v>
      </c>
      <c r="J171" s="37" t="s">
        <v>94</v>
      </c>
      <c r="K171" s="40">
        <v>1.6</v>
      </c>
      <c r="L171" s="41">
        <v>1228</v>
      </c>
      <c r="M171" s="42">
        <v>13067</v>
      </c>
      <c r="N171" s="37" t="s">
        <v>115</v>
      </c>
      <c r="O171" s="49" t="s">
        <v>142</v>
      </c>
      <c r="P171" s="37" t="s">
        <v>496</v>
      </c>
      <c r="Q171" s="37" t="s">
        <v>118</v>
      </c>
    </row>
    <row r="172" spans="1:17" ht="15" customHeight="1" x14ac:dyDescent="0.35">
      <c r="A172" s="30" t="s">
        <v>497</v>
      </c>
      <c r="B172" s="31">
        <v>46298</v>
      </c>
      <c r="C172" s="30" t="s">
        <v>56</v>
      </c>
      <c r="D172" s="30">
        <v>10</v>
      </c>
      <c r="E172" s="32" t="s">
        <v>187</v>
      </c>
      <c r="F172" s="32" t="s">
        <v>80</v>
      </c>
      <c r="G172" s="30" t="s">
        <v>113</v>
      </c>
      <c r="H172" s="32" t="s">
        <v>33</v>
      </c>
      <c r="I172" s="32" t="s">
        <v>212</v>
      </c>
      <c r="J172" s="30" t="s">
        <v>92</v>
      </c>
      <c r="K172" s="33">
        <v>8.1</v>
      </c>
      <c r="L172" s="34">
        <v>4689</v>
      </c>
      <c r="M172" s="35">
        <v>81401</v>
      </c>
      <c r="N172" s="30" t="s">
        <v>122</v>
      </c>
      <c r="O172" s="36" t="s">
        <v>116</v>
      </c>
      <c r="P172" s="30" t="s">
        <v>498</v>
      </c>
      <c r="Q172" s="30" t="s">
        <v>125</v>
      </c>
    </row>
    <row r="173" spans="1:17" ht="15" customHeight="1" x14ac:dyDescent="0.35">
      <c r="A173" s="37" t="s">
        <v>499</v>
      </c>
      <c r="B173" s="38">
        <v>46298</v>
      </c>
      <c r="C173" s="37" t="s">
        <v>56</v>
      </c>
      <c r="D173" s="37">
        <v>10</v>
      </c>
      <c r="E173" s="39" t="s">
        <v>187</v>
      </c>
      <c r="F173" s="39" t="s">
        <v>80</v>
      </c>
      <c r="G173" s="37" t="s">
        <v>113</v>
      </c>
      <c r="H173" s="39" t="s">
        <v>55</v>
      </c>
      <c r="I173" s="39" t="s">
        <v>160</v>
      </c>
      <c r="J173" s="37" t="s">
        <v>93</v>
      </c>
      <c r="K173" s="40">
        <v>0.8</v>
      </c>
      <c r="L173" s="41">
        <v>865</v>
      </c>
      <c r="M173" s="42">
        <v>8573</v>
      </c>
      <c r="N173" s="37" t="s">
        <v>115</v>
      </c>
      <c r="O173" s="49" t="s">
        <v>142</v>
      </c>
      <c r="P173" s="37" t="s">
        <v>500</v>
      </c>
      <c r="Q173" s="37" t="s">
        <v>118</v>
      </c>
    </row>
    <row r="174" spans="1:17" ht="15" customHeight="1" x14ac:dyDescent="0.35">
      <c r="A174" s="30" t="s">
        <v>501</v>
      </c>
      <c r="B174" s="31">
        <v>46299</v>
      </c>
      <c r="C174" s="30" t="s">
        <v>56</v>
      </c>
      <c r="D174" s="30">
        <v>10</v>
      </c>
      <c r="E174" s="32" t="s">
        <v>248</v>
      </c>
      <c r="F174" s="32" t="s">
        <v>79</v>
      </c>
      <c r="G174" s="30" t="s">
        <v>173</v>
      </c>
      <c r="H174" s="32" t="s">
        <v>51</v>
      </c>
      <c r="I174" s="32" t="s">
        <v>166</v>
      </c>
      <c r="J174" s="30" t="s">
        <v>93</v>
      </c>
      <c r="K174" s="33">
        <v>12.8</v>
      </c>
      <c r="L174" s="34">
        <v>13429</v>
      </c>
      <c r="M174" s="35">
        <v>133110</v>
      </c>
      <c r="N174" s="30" t="s">
        <v>122</v>
      </c>
      <c r="O174" s="36" t="s">
        <v>116</v>
      </c>
      <c r="P174" s="30" t="s">
        <v>502</v>
      </c>
      <c r="Q174" s="30" t="s">
        <v>139</v>
      </c>
    </row>
    <row r="175" spans="1:17" ht="15" customHeight="1" x14ac:dyDescent="0.35">
      <c r="A175" s="37" t="s">
        <v>503</v>
      </c>
      <c r="B175" s="38">
        <v>46300</v>
      </c>
      <c r="C175" s="37" t="s">
        <v>56</v>
      </c>
      <c r="D175" s="37">
        <v>10</v>
      </c>
      <c r="E175" s="39" t="s">
        <v>211</v>
      </c>
      <c r="F175" s="39" t="s">
        <v>78</v>
      </c>
      <c r="G175" s="37" t="s">
        <v>113</v>
      </c>
      <c r="H175" s="39" t="s">
        <v>37</v>
      </c>
      <c r="I175" s="39" t="s">
        <v>132</v>
      </c>
      <c r="J175" s="37" t="s">
        <v>94</v>
      </c>
      <c r="K175" s="40">
        <v>6</v>
      </c>
      <c r="L175" s="41">
        <v>4443</v>
      </c>
      <c r="M175" s="42">
        <v>64309</v>
      </c>
      <c r="N175" s="37" t="s">
        <v>122</v>
      </c>
      <c r="O175" s="46" t="s">
        <v>116</v>
      </c>
      <c r="P175" s="37" t="s">
        <v>504</v>
      </c>
      <c r="Q175" s="37" t="s">
        <v>125</v>
      </c>
    </row>
    <row r="176" spans="1:17" ht="15" customHeight="1" x14ac:dyDescent="0.35">
      <c r="A176" s="30" t="s">
        <v>505</v>
      </c>
      <c r="B176" s="31">
        <v>46300</v>
      </c>
      <c r="C176" s="30" t="s">
        <v>56</v>
      </c>
      <c r="D176" s="30">
        <v>10</v>
      </c>
      <c r="E176" s="32" t="s">
        <v>163</v>
      </c>
      <c r="F176" s="32" t="s">
        <v>75</v>
      </c>
      <c r="G176" s="30" t="s">
        <v>113</v>
      </c>
      <c r="H176" s="32" t="s">
        <v>61</v>
      </c>
      <c r="I176" s="32" t="s">
        <v>121</v>
      </c>
      <c r="J176" s="30" t="s">
        <v>94</v>
      </c>
      <c r="K176" s="33">
        <v>10.9</v>
      </c>
      <c r="L176" s="34">
        <v>5497</v>
      </c>
      <c r="M176" s="35">
        <v>121500</v>
      </c>
      <c r="N176" s="30" t="s">
        <v>115</v>
      </c>
      <c r="O176" s="36" t="s">
        <v>116</v>
      </c>
      <c r="P176" s="30" t="s">
        <v>506</v>
      </c>
      <c r="Q176" s="30" t="s">
        <v>125</v>
      </c>
    </row>
    <row r="177" spans="1:17" ht="15" customHeight="1" x14ac:dyDescent="0.35">
      <c r="A177" s="37" t="s">
        <v>507</v>
      </c>
      <c r="B177" s="38">
        <v>46301</v>
      </c>
      <c r="C177" s="37" t="s">
        <v>56</v>
      </c>
      <c r="D177" s="37">
        <v>10</v>
      </c>
      <c r="E177" s="39" t="s">
        <v>169</v>
      </c>
      <c r="F177" s="39" t="s">
        <v>78</v>
      </c>
      <c r="G177" s="37" t="s">
        <v>113</v>
      </c>
      <c r="H177" s="39" t="s">
        <v>44</v>
      </c>
      <c r="I177" s="39" t="s">
        <v>141</v>
      </c>
      <c r="J177" s="37" t="s">
        <v>94</v>
      </c>
      <c r="K177" s="40">
        <v>0.7</v>
      </c>
      <c r="L177" s="41">
        <v>603</v>
      </c>
      <c r="M177" s="42">
        <v>7208</v>
      </c>
      <c r="N177" s="37" t="s">
        <v>122</v>
      </c>
      <c r="O177" s="49" t="s">
        <v>142</v>
      </c>
      <c r="P177" s="37" t="s">
        <v>508</v>
      </c>
      <c r="Q177" s="37" t="s">
        <v>125</v>
      </c>
    </row>
    <row r="178" spans="1:17" ht="15" customHeight="1" x14ac:dyDescent="0.35">
      <c r="A178" s="30" t="s">
        <v>509</v>
      </c>
      <c r="B178" s="31">
        <v>46302</v>
      </c>
      <c r="C178" s="30" t="s">
        <v>56</v>
      </c>
      <c r="D178" s="30">
        <v>10</v>
      </c>
      <c r="E178" s="32" t="s">
        <v>207</v>
      </c>
      <c r="F178" s="32" t="s">
        <v>81</v>
      </c>
      <c r="G178" s="30" t="s">
        <v>208</v>
      </c>
      <c r="H178" s="32" t="s">
        <v>44</v>
      </c>
      <c r="I178" s="32" t="s">
        <v>174</v>
      </c>
      <c r="J178" s="30" t="s">
        <v>92</v>
      </c>
      <c r="K178" s="33">
        <v>3.2</v>
      </c>
      <c r="L178" s="34">
        <v>3812</v>
      </c>
      <c r="M178" s="35">
        <v>27347</v>
      </c>
      <c r="N178" s="30" t="s">
        <v>115</v>
      </c>
      <c r="O178" s="44" t="s">
        <v>128</v>
      </c>
      <c r="P178" s="30" t="s">
        <v>510</v>
      </c>
      <c r="Q178" s="30" t="s">
        <v>139</v>
      </c>
    </row>
    <row r="179" spans="1:17" ht="15" customHeight="1" x14ac:dyDescent="0.35">
      <c r="A179" s="37" t="s">
        <v>511</v>
      </c>
      <c r="B179" s="38">
        <v>46304</v>
      </c>
      <c r="C179" s="37" t="s">
        <v>56</v>
      </c>
      <c r="D179" s="37">
        <v>10</v>
      </c>
      <c r="E179" s="39" t="s">
        <v>204</v>
      </c>
      <c r="F179" s="39" t="s">
        <v>79</v>
      </c>
      <c r="G179" s="37" t="s">
        <v>173</v>
      </c>
      <c r="H179" s="39" t="s">
        <v>51</v>
      </c>
      <c r="I179" s="39" t="s">
        <v>146</v>
      </c>
      <c r="J179" s="37" t="s">
        <v>92</v>
      </c>
      <c r="K179" s="40">
        <v>3.7</v>
      </c>
      <c r="L179" s="41">
        <v>2593</v>
      </c>
      <c r="M179" s="42">
        <v>30414</v>
      </c>
      <c r="N179" s="37" t="s">
        <v>122</v>
      </c>
      <c r="O179" s="45" t="s">
        <v>128</v>
      </c>
      <c r="P179" s="37" t="s">
        <v>512</v>
      </c>
      <c r="Q179" s="37" t="s">
        <v>125</v>
      </c>
    </row>
    <row r="180" spans="1:17" ht="15" customHeight="1" x14ac:dyDescent="0.35">
      <c r="A180" s="30" t="s">
        <v>513</v>
      </c>
      <c r="B180" s="31">
        <v>46304</v>
      </c>
      <c r="C180" s="30" t="s">
        <v>56</v>
      </c>
      <c r="D180" s="30">
        <v>10</v>
      </c>
      <c r="E180" s="32" t="s">
        <v>248</v>
      </c>
      <c r="F180" s="32" t="s">
        <v>79</v>
      </c>
      <c r="G180" s="30" t="s">
        <v>173</v>
      </c>
      <c r="H180" s="32" t="s">
        <v>55</v>
      </c>
      <c r="I180" s="32" t="s">
        <v>121</v>
      </c>
      <c r="J180" s="30" t="s">
        <v>94</v>
      </c>
      <c r="K180" s="33">
        <v>1.3</v>
      </c>
      <c r="L180" s="34">
        <v>1196</v>
      </c>
      <c r="M180" s="35">
        <v>10057</v>
      </c>
      <c r="N180" s="30" t="s">
        <v>122</v>
      </c>
      <c r="O180" s="47" t="s">
        <v>142</v>
      </c>
      <c r="P180" s="30" t="s">
        <v>514</v>
      </c>
      <c r="Q180" s="30" t="s">
        <v>139</v>
      </c>
    </row>
    <row r="181" spans="1:17" ht="15" customHeight="1" x14ac:dyDescent="0.35">
      <c r="A181" s="37" t="s">
        <v>515</v>
      </c>
      <c r="B181" s="38">
        <v>46305</v>
      </c>
      <c r="C181" s="37" t="s">
        <v>56</v>
      </c>
      <c r="D181" s="37">
        <v>10</v>
      </c>
      <c r="E181" s="39" t="s">
        <v>248</v>
      </c>
      <c r="F181" s="39" t="s">
        <v>79</v>
      </c>
      <c r="G181" s="37" t="s">
        <v>173</v>
      </c>
      <c r="H181" s="39" t="s">
        <v>37</v>
      </c>
      <c r="I181" s="39" t="s">
        <v>141</v>
      </c>
      <c r="J181" s="37" t="s">
        <v>92</v>
      </c>
      <c r="K181" s="40">
        <v>58.7</v>
      </c>
      <c r="L181" s="41">
        <v>52577</v>
      </c>
      <c r="M181" s="42">
        <v>614690</v>
      </c>
      <c r="N181" s="37" t="s">
        <v>122</v>
      </c>
      <c r="O181" s="43" t="s">
        <v>123</v>
      </c>
      <c r="P181" s="37" t="s">
        <v>516</v>
      </c>
      <c r="Q181" s="37" t="s">
        <v>139</v>
      </c>
    </row>
    <row r="182" spans="1:17" ht="15" customHeight="1" x14ac:dyDescent="0.35">
      <c r="A182" s="30" t="s">
        <v>517</v>
      </c>
      <c r="B182" s="31">
        <v>46305</v>
      </c>
      <c r="C182" s="30" t="s">
        <v>56</v>
      </c>
      <c r="D182" s="30">
        <v>10</v>
      </c>
      <c r="E182" s="32" t="s">
        <v>152</v>
      </c>
      <c r="F182" s="32" t="s">
        <v>78</v>
      </c>
      <c r="G182" s="30" t="s">
        <v>113</v>
      </c>
      <c r="H182" s="32" t="s">
        <v>33</v>
      </c>
      <c r="I182" s="32" t="s">
        <v>160</v>
      </c>
      <c r="J182" s="30" t="s">
        <v>94</v>
      </c>
      <c r="K182" s="33">
        <v>50.6</v>
      </c>
      <c r="L182" s="34">
        <v>42804</v>
      </c>
      <c r="M182" s="35">
        <v>571871</v>
      </c>
      <c r="N182" s="30" t="s">
        <v>115</v>
      </c>
      <c r="O182" s="48" t="s">
        <v>123</v>
      </c>
      <c r="P182" s="30" t="s">
        <v>518</v>
      </c>
      <c r="Q182" s="30" t="s">
        <v>118</v>
      </c>
    </row>
    <row r="183" spans="1:17" ht="15" customHeight="1" x14ac:dyDescent="0.35">
      <c r="A183" s="37" t="s">
        <v>519</v>
      </c>
      <c r="B183" s="38">
        <v>46305</v>
      </c>
      <c r="C183" s="37" t="s">
        <v>56</v>
      </c>
      <c r="D183" s="37">
        <v>10</v>
      </c>
      <c r="E183" s="39" t="s">
        <v>177</v>
      </c>
      <c r="F183" s="39" t="s">
        <v>80</v>
      </c>
      <c r="G183" s="37" t="s">
        <v>113</v>
      </c>
      <c r="H183" s="39" t="s">
        <v>51</v>
      </c>
      <c r="I183" s="39" t="s">
        <v>160</v>
      </c>
      <c r="J183" s="37" t="s">
        <v>93</v>
      </c>
      <c r="K183" s="40">
        <v>1.8</v>
      </c>
      <c r="L183" s="41">
        <v>1425</v>
      </c>
      <c r="M183" s="42">
        <v>20612</v>
      </c>
      <c r="N183" s="37" t="s">
        <v>122</v>
      </c>
      <c r="O183" s="49" t="s">
        <v>142</v>
      </c>
      <c r="P183" s="37" t="s">
        <v>520</v>
      </c>
      <c r="Q183" s="37" t="s">
        <v>130</v>
      </c>
    </row>
    <row r="184" spans="1:17" ht="15" customHeight="1" x14ac:dyDescent="0.35">
      <c r="A184" s="30" t="s">
        <v>521</v>
      </c>
      <c r="B184" s="31">
        <v>46306</v>
      </c>
      <c r="C184" s="30" t="s">
        <v>56</v>
      </c>
      <c r="D184" s="30">
        <v>10</v>
      </c>
      <c r="E184" s="32" t="s">
        <v>302</v>
      </c>
      <c r="F184" s="32" t="s">
        <v>78</v>
      </c>
      <c r="G184" s="30" t="s">
        <v>113</v>
      </c>
      <c r="H184" s="32" t="s">
        <v>39</v>
      </c>
      <c r="I184" s="32" t="s">
        <v>156</v>
      </c>
      <c r="J184" s="30" t="s">
        <v>93</v>
      </c>
      <c r="K184" s="33">
        <v>1.7</v>
      </c>
      <c r="L184" s="34">
        <v>1218</v>
      </c>
      <c r="M184" s="35">
        <v>13304</v>
      </c>
      <c r="N184" s="30" t="s">
        <v>115</v>
      </c>
      <c r="O184" s="47" t="s">
        <v>142</v>
      </c>
      <c r="P184" s="30" t="s">
        <v>522</v>
      </c>
      <c r="Q184" s="30" t="s">
        <v>139</v>
      </c>
    </row>
    <row r="185" spans="1:17" ht="15" customHeight="1" x14ac:dyDescent="0.35">
      <c r="A185" s="37" t="s">
        <v>523</v>
      </c>
      <c r="B185" s="38">
        <v>46307</v>
      </c>
      <c r="C185" s="37" t="s">
        <v>56</v>
      </c>
      <c r="D185" s="37">
        <v>10</v>
      </c>
      <c r="E185" s="39" t="s">
        <v>187</v>
      </c>
      <c r="F185" s="39" t="s">
        <v>80</v>
      </c>
      <c r="G185" s="37" t="s">
        <v>113</v>
      </c>
      <c r="H185" s="39" t="s">
        <v>55</v>
      </c>
      <c r="I185" s="39" t="s">
        <v>166</v>
      </c>
      <c r="J185" s="37" t="s">
        <v>94</v>
      </c>
      <c r="K185" s="40">
        <v>0.7</v>
      </c>
      <c r="L185" s="41">
        <v>450</v>
      </c>
      <c r="M185" s="42">
        <v>6414</v>
      </c>
      <c r="N185" s="37" t="s">
        <v>122</v>
      </c>
      <c r="O185" s="49" t="s">
        <v>142</v>
      </c>
      <c r="P185" s="37" t="s">
        <v>524</v>
      </c>
      <c r="Q185" s="37" t="s">
        <v>125</v>
      </c>
    </row>
    <row r="186" spans="1:17" ht="15" customHeight="1" x14ac:dyDescent="0.35">
      <c r="A186" s="30" t="s">
        <v>525</v>
      </c>
      <c r="B186" s="31">
        <v>46308</v>
      </c>
      <c r="C186" s="30" t="s">
        <v>56</v>
      </c>
      <c r="D186" s="30">
        <v>10</v>
      </c>
      <c r="E186" s="32" t="s">
        <v>211</v>
      </c>
      <c r="F186" s="32" t="s">
        <v>78</v>
      </c>
      <c r="G186" s="30" t="s">
        <v>113</v>
      </c>
      <c r="H186" s="32" t="s">
        <v>39</v>
      </c>
      <c r="I186" s="32" t="s">
        <v>194</v>
      </c>
      <c r="J186" s="30" t="s">
        <v>93</v>
      </c>
      <c r="K186" s="33">
        <v>15.8</v>
      </c>
      <c r="L186" s="34">
        <v>10592</v>
      </c>
      <c r="M186" s="35">
        <v>121850</v>
      </c>
      <c r="N186" s="30" t="s">
        <v>122</v>
      </c>
      <c r="O186" s="36" t="s">
        <v>116</v>
      </c>
      <c r="P186" s="30" t="s">
        <v>526</v>
      </c>
      <c r="Q186" s="30" t="s">
        <v>139</v>
      </c>
    </row>
    <row r="187" spans="1:17" ht="15" customHeight="1" x14ac:dyDescent="0.35">
      <c r="A187" s="37" t="s">
        <v>527</v>
      </c>
      <c r="B187" s="38">
        <v>46308</v>
      </c>
      <c r="C187" s="37" t="s">
        <v>56</v>
      </c>
      <c r="D187" s="37">
        <v>10</v>
      </c>
      <c r="E187" s="39" t="s">
        <v>163</v>
      </c>
      <c r="F187" s="39" t="s">
        <v>75</v>
      </c>
      <c r="G187" s="37" t="s">
        <v>113</v>
      </c>
      <c r="H187" s="39" t="s">
        <v>39</v>
      </c>
      <c r="I187" s="39" t="s">
        <v>174</v>
      </c>
      <c r="J187" s="37" t="s">
        <v>93</v>
      </c>
      <c r="K187" s="40">
        <v>1.1000000000000001</v>
      </c>
      <c r="L187" s="41">
        <v>599</v>
      </c>
      <c r="M187" s="42">
        <v>10733</v>
      </c>
      <c r="N187" s="37" t="s">
        <v>122</v>
      </c>
      <c r="O187" s="49" t="s">
        <v>142</v>
      </c>
      <c r="P187" s="37" t="s">
        <v>528</v>
      </c>
      <c r="Q187" s="37" t="s">
        <v>139</v>
      </c>
    </row>
    <row r="188" spans="1:17" ht="15" customHeight="1" x14ac:dyDescent="0.35">
      <c r="A188" s="30" t="s">
        <v>529</v>
      </c>
      <c r="B188" s="31">
        <v>46309</v>
      </c>
      <c r="C188" s="30" t="s">
        <v>56</v>
      </c>
      <c r="D188" s="30">
        <v>10</v>
      </c>
      <c r="E188" s="32" t="s">
        <v>120</v>
      </c>
      <c r="F188" s="32" t="s">
        <v>77</v>
      </c>
      <c r="G188" s="30" t="s">
        <v>113</v>
      </c>
      <c r="H188" s="32" t="s">
        <v>39</v>
      </c>
      <c r="I188" s="32" t="s">
        <v>121</v>
      </c>
      <c r="J188" s="30" t="s">
        <v>92</v>
      </c>
      <c r="K188" s="33">
        <v>12.7</v>
      </c>
      <c r="L188" s="34">
        <v>11698</v>
      </c>
      <c r="M188" s="35">
        <v>133878</v>
      </c>
      <c r="N188" s="30" t="s">
        <v>122</v>
      </c>
      <c r="O188" s="36" t="s">
        <v>116</v>
      </c>
      <c r="P188" s="30" t="s">
        <v>530</v>
      </c>
      <c r="Q188" s="30" t="s">
        <v>118</v>
      </c>
    </row>
    <row r="189" spans="1:17" ht="15" customHeight="1" x14ac:dyDescent="0.35">
      <c r="A189" s="37" t="s">
        <v>531</v>
      </c>
      <c r="B189" s="38">
        <v>46311</v>
      </c>
      <c r="C189" s="37" t="s">
        <v>56</v>
      </c>
      <c r="D189" s="37">
        <v>10</v>
      </c>
      <c r="E189" s="39" t="s">
        <v>223</v>
      </c>
      <c r="F189" s="39" t="s">
        <v>81</v>
      </c>
      <c r="G189" s="37" t="s">
        <v>208</v>
      </c>
      <c r="H189" s="39" t="s">
        <v>61</v>
      </c>
      <c r="I189" s="39" t="s">
        <v>174</v>
      </c>
      <c r="J189" s="37" t="s">
        <v>94</v>
      </c>
      <c r="K189" s="40">
        <v>3.9</v>
      </c>
      <c r="L189" s="41">
        <v>3678</v>
      </c>
      <c r="M189" s="42">
        <v>46063</v>
      </c>
      <c r="N189" s="37" t="s">
        <v>122</v>
      </c>
      <c r="O189" s="45" t="s">
        <v>128</v>
      </c>
      <c r="P189" s="37" t="s">
        <v>532</v>
      </c>
      <c r="Q189" s="37" t="s">
        <v>139</v>
      </c>
    </row>
    <row r="190" spans="1:17" ht="15" customHeight="1" x14ac:dyDescent="0.35">
      <c r="A190" s="30" t="s">
        <v>533</v>
      </c>
      <c r="B190" s="31">
        <v>46313</v>
      </c>
      <c r="C190" s="30" t="s">
        <v>56</v>
      </c>
      <c r="D190" s="30">
        <v>10</v>
      </c>
      <c r="E190" s="32" t="s">
        <v>149</v>
      </c>
      <c r="F190" s="32" t="s">
        <v>75</v>
      </c>
      <c r="G190" s="30" t="s">
        <v>113</v>
      </c>
      <c r="H190" s="32" t="s">
        <v>42</v>
      </c>
      <c r="I190" s="32" t="s">
        <v>132</v>
      </c>
      <c r="J190" s="30" t="s">
        <v>93</v>
      </c>
      <c r="K190" s="33">
        <v>29.8</v>
      </c>
      <c r="L190" s="34">
        <v>28989</v>
      </c>
      <c r="M190" s="35">
        <v>252012</v>
      </c>
      <c r="N190" s="30" t="s">
        <v>122</v>
      </c>
      <c r="O190" s="48" t="s">
        <v>123</v>
      </c>
      <c r="P190" s="30" t="s">
        <v>534</v>
      </c>
      <c r="Q190" s="30" t="s">
        <v>125</v>
      </c>
    </row>
    <row r="191" spans="1:17" ht="15" customHeight="1" x14ac:dyDescent="0.35">
      <c r="A191" s="37" t="s">
        <v>535</v>
      </c>
      <c r="B191" s="38">
        <v>46314</v>
      </c>
      <c r="C191" s="37" t="s">
        <v>56</v>
      </c>
      <c r="D191" s="37">
        <v>10</v>
      </c>
      <c r="E191" s="39" t="s">
        <v>302</v>
      </c>
      <c r="F191" s="39" t="s">
        <v>78</v>
      </c>
      <c r="G191" s="37" t="s">
        <v>113</v>
      </c>
      <c r="H191" s="39" t="s">
        <v>37</v>
      </c>
      <c r="I191" s="39" t="s">
        <v>114</v>
      </c>
      <c r="J191" s="37" t="s">
        <v>94</v>
      </c>
      <c r="K191" s="40">
        <v>14.1</v>
      </c>
      <c r="L191" s="41">
        <v>8477</v>
      </c>
      <c r="M191" s="42">
        <v>166031</v>
      </c>
      <c r="N191" s="37" t="s">
        <v>122</v>
      </c>
      <c r="O191" s="46" t="s">
        <v>116</v>
      </c>
      <c r="P191" s="37" t="s">
        <v>536</v>
      </c>
      <c r="Q191" s="37" t="s">
        <v>139</v>
      </c>
    </row>
    <row r="192" spans="1:17" ht="15" customHeight="1" x14ac:dyDescent="0.35">
      <c r="A192" s="30" t="s">
        <v>537</v>
      </c>
      <c r="B192" s="31">
        <v>46315</v>
      </c>
      <c r="C192" s="30" t="s">
        <v>56</v>
      </c>
      <c r="D192" s="30">
        <v>10</v>
      </c>
      <c r="E192" s="32" t="s">
        <v>207</v>
      </c>
      <c r="F192" s="32" t="s">
        <v>81</v>
      </c>
      <c r="G192" s="30" t="s">
        <v>208</v>
      </c>
      <c r="H192" s="32" t="s">
        <v>64</v>
      </c>
      <c r="I192" s="32" t="s">
        <v>174</v>
      </c>
      <c r="J192" s="30" t="s">
        <v>92</v>
      </c>
      <c r="K192" s="33">
        <v>1.5</v>
      </c>
      <c r="L192" s="34">
        <v>1560</v>
      </c>
      <c r="M192" s="35">
        <v>14271</v>
      </c>
      <c r="N192" s="30" t="s">
        <v>122</v>
      </c>
      <c r="O192" s="47" t="s">
        <v>142</v>
      </c>
      <c r="P192" s="30" t="s">
        <v>538</v>
      </c>
      <c r="Q192" s="30" t="s">
        <v>130</v>
      </c>
    </row>
    <row r="193" spans="1:17" ht="15" customHeight="1" x14ac:dyDescent="0.35">
      <c r="A193" s="37" t="s">
        <v>539</v>
      </c>
      <c r="B193" s="38">
        <v>46317</v>
      </c>
      <c r="C193" s="37" t="s">
        <v>56</v>
      </c>
      <c r="D193" s="37">
        <v>10</v>
      </c>
      <c r="E193" s="39" t="s">
        <v>135</v>
      </c>
      <c r="F193" s="39" t="s">
        <v>75</v>
      </c>
      <c r="G193" s="37" t="s">
        <v>113</v>
      </c>
      <c r="H193" s="39" t="s">
        <v>39</v>
      </c>
      <c r="I193" s="39" t="s">
        <v>132</v>
      </c>
      <c r="J193" s="37" t="s">
        <v>94</v>
      </c>
      <c r="K193" s="40">
        <v>86.2</v>
      </c>
      <c r="L193" s="41">
        <v>92357</v>
      </c>
      <c r="M193" s="42">
        <v>850119</v>
      </c>
      <c r="N193" s="37" t="s">
        <v>122</v>
      </c>
      <c r="O193" s="43" t="s">
        <v>123</v>
      </c>
      <c r="P193" s="37" t="s">
        <v>540</v>
      </c>
      <c r="Q193" s="37" t="s">
        <v>118</v>
      </c>
    </row>
    <row r="194" spans="1:17" ht="15" customHeight="1" x14ac:dyDescent="0.35">
      <c r="A194" s="30" t="s">
        <v>541</v>
      </c>
      <c r="B194" s="31">
        <v>46318</v>
      </c>
      <c r="C194" s="30" t="s">
        <v>56</v>
      </c>
      <c r="D194" s="30">
        <v>10</v>
      </c>
      <c r="E194" s="32" t="s">
        <v>239</v>
      </c>
      <c r="F194" s="32" t="s">
        <v>83</v>
      </c>
      <c r="G194" s="30" t="s">
        <v>173</v>
      </c>
      <c r="H194" s="32" t="s">
        <v>44</v>
      </c>
      <c r="I194" s="32" t="s">
        <v>160</v>
      </c>
      <c r="J194" s="30" t="s">
        <v>93</v>
      </c>
      <c r="K194" s="33">
        <v>32.299999999999997</v>
      </c>
      <c r="L194" s="34">
        <v>27092</v>
      </c>
      <c r="M194" s="35">
        <v>309109</v>
      </c>
      <c r="N194" s="30" t="s">
        <v>122</v>
      </c>
      <c r="O194" s="48" t="s">
        <v>123</v>
      </c>
      <c r="P194" s="30" t="s">
        <v>542</v>
      </c>
      <c r="Q194" s="30" t="s">
        <v>118</v>
      </c>
    </row>
    <row r="195" spans="1:17" ht="15" customHeight="1" x14ac:dyDescent="0.35">
      <c r="A195" s="37" t="s">
        <v>543</v>
      </c>
      <c r="B195" s="38">
        <v>46319</v>
      </c>
      <c r="C195" s="37" t="s">
        <v>56</v>
      </c>
      <c r="D195" s="37">
        <v>10</v>
      </c>
      <c r="E195" s="39" t="s">
        <v>163</v>
      </c>
      <c r="F195" s="39" t="s">
        <v>75</v>
      </c>
      <c r="G195" s="37" t="s">
        <v>113</v>
      </c>
      <c r="H195" s="39" t="s">
        <v>51</v>
      </c>
      <c r="I195" s="39" t="s">
        <v>132</v>
      </c>
      <c r="J195" s="37" t="s">
        <v>92</v>
      </c>
      <c r="K195" s="40">
        <v>2</v>
      </c>
      <c r="L195" s="41">
        <v>1042</v>
      </c>
      <c r="M195" s="42">
        <v>19800</v>
      </c>
      <c r="N195" s="37" t="s">
        <v>122</v>
      </c>
      <c r="O195" s="45" t="s">
        <v>128</v>
      </c>
      <c r="P195" s="37" t="s">
        <v>544</v>
      </c>
      <c r="Q195" s="37" t="s">
        <v>130</v>
      </c>
    </row>
    <row r="196" spans="1:17" ht="15" customHeight="1" x14ac:dyDescent="0.35">
      <c r="A196" s="30" t="s">
        <v>545</v>
      </c>
      <c r="B196" s="31">
        <v>46319</v>
      </c>
      <c r="C196" s="30" t="s">
        <v>56</v>
      </c>
      <c r="D196" s="30">
        <v>10</v>
      </c>
      <c r="E196" s="32" t="s">
        <v>145</v>
      </c>
      <c r="F196" s="32" t="s">
        <v>84</v>
      </c>
      <c r="G196" s="30" t="s">
        <v>113</v>
      </c>
      <c r="H196" s="32" t="s">
        <v>51</v>
      </c>
      <c r="I196" s="32" t="s">
        <v>146</v>
      </c>
      <c r="J196" s="30" t="s">
        <v>94</v>
      </c>
      <c r="K196" s="33">
        <v>1.5</v>
      </c>
      <c r="L196" s="34">
        <v>1239</v>
      </c>
      <c r="M196" s="35">
        <v>14423</v>
      </c>
      <c r="N196" s="30" t="s">
        <v>122</v>
      </c>
      <c r="O196" s="47" t="s">
        <v>142</v>
      </c>
      <c r="P196" s="30" t="s">
        <v>546</v>
      </c>
      <c r="Q196" s="30" t="s">
        <v>118</v>
      </c>
    </row>
    <row r="197" spans="1:17" ht="15" customHeight="1" x14ac:dyDescent="0.35">
      <c r="A197" s="37" t="s">
        <v>547</v>
      </c>
      <c r="B197" s="38">
        <v>46322</v>
      </c>
      <c r="C197" s="37" t="s">
        <v>56</v>
      </c>
      <c r="D197" s="37">
        <v>10</v>
      </c>
      <c r="E197" s="39" t="s">
        <v>172</v>
      </c>
      <c r="F197" s="39" t="s">
        <v>79</v>
      </c>
      <c r="G197" s="37" t="s">
        <v>173</v>
      </c>
      <c r="H197" s="39" t="s">
        <v>51</v>
      </c>
      <c r="I197" s="39" t="s">
        <v>194</v>
      </c>
      <c r="J197" s="37" t="s">
        <v>93</v>
      </c>
      <c r="K197" s="40">
        <v>3.1</v>
      </c>
      <c r="L197" s="41">
        <v>2537</v>
      </c>
      <c r="M197" s="42">
        <v>28100</v>
      </c>
      <c r="N197" s="37" t="s">
        <v>122</v>
      </c>
      <c r="O197" s="45" t="s">
        <v>128</v>
      </c>
      <c r="P197" s="37" t="s">
        <v>548</v>
      </c>
      <c r="Q197" s="37" t="s">
        <v>130</v>
      </c>
    </row>
    <row r="198" spans="1:17" ht="15" customHeight="1" x14ac:dyDescent="0.35">
      <c r="A198" s="30" t="s">
        <v>549</v>
      </c>
      <c r="B198" s="31">
        <v>46324</v>
      </c>
      <c r="C198" s="30" t="s">
        <v>56</v>
      </c>
      <c r="D198" s="30">
        <v>10</v>
      </c>
      <c r="E198" s="32" t="s">
        <v>135</v>
      </c>
      <c r="F198" s="32" t="s">
        <v>75</v>
      </c>
      <c r="G198" s="30" t="s">
        <v>113</v>
      </c>
      <c r="H198" s="32" t="s">
        <v>57</v>
      </c>
      <c r="I198" s="32" t="s">
        <v>114</v>
      </c>
      <c r="J198" s="30" t="s">
        <v>92</v>
      </c>
      <c r="K198" s="33">
        <v>1.6</v>
      </c>
      <c r="L198" s="34">
        <v>1130</v>
      </c>
      <c r="M198" s="35">
        <v>12463</v>
      </c>
      <c r="N198" s="30" t="s">
        <v>122</v>
      </c>
      <c r="O198" s="47" t="s">
        <v>142</v>
      </c>
      <c r="P198" s="30" t="s">
        <v>550</v>
      </c>
      <c r="Q198" s="30" t="s">
        <v>130</v>
      </c>
    </row>
    <row r="199" spans="1:17" ht="15" customHeight="1" x14ac:dyDescent="0.35">
      <c r="A199" s="37" t="s">
        <v>551</v>
      </c>
      <c r="B199" s="38">
        <v>46326</v>
      </c>
      <c r="C199" s="37" t="s">
        <v>56</v>
      </c>
      <c r="D199" s="37">
        <v>10</v>
      </c>
      <c r="E199" s="39" t="s">
        <v>112</v>
      </c>
      <c r="F199" s="39" t="s">
        <v>77</v>
      </c>
      <c r="G199" s="37" t="s">
        <v>113</v>
      </c>
      <c r="H199" s="39" t="s">
        <v>42</v>
      </c>
      <c r="I199" s="39" t="s">
        <v>141</v>
      </c>
      <c r="J199" s="37" t="s">
        <v>93</v>
      </c>
      <c r="K199" s="40">
        <v>1.5</v>
      </c>
      <c r="L199" s="41">
        <v>958</v>
      </c>
      <c r="M199" s="42">
        <v>17702</v>
      </c>
      <c r="N199" s="37" t="s">
        <v>122</v>
      </c>
      <c r="O199" s="49" t="s">
        <v>142</v>
      </c>
      <c r="P199" s="37" t="s">
        <v>552</v>
      </c>
      <c r="Q199" s="37" t="s">
        <v>139</v>
      </c>
    </row>
    <row r="200" spans="1:17" ht="15" customHeight="1" x14ac:dyDescent="0.35">
      <c r="A200" s="30" t="s">
        <v>553</v>
      </c>
      <c r="B200" s="31">
        <v>46329</v>
      </c>
      <c r="C200" s="30" t="s">
        <v>58</v>
      </c>
      <c r="D200" s="30">
        <v>11</v>
      </c>
      <c r="E200" s="32" t="s">
        <v>127</v>
      </c>
      <c r="F200" s="32" t="s">
        <v>80</v>
      </c>
      <c r="G200" s="30" t="s">
        <v>113</v>
      </c>
      <c r="H200" s="32" t="s">
        <v>51</v>
      </c>
      <c r="I200" s="32" t="s">
        <v>174</v>
      </c>
      <c r="J200" s="30" t="s">
        <v>94</v>
      </c>
      <c r="K200" s="33">
        <v>6.7</v>
      </c>
      <c r="L200" s="34">
        <v>7671</v>
      </c>
      <c r="M200" s="35">
        <v>75414</v>
      </c>
      <c r="N200" s="30" t="s">
        <v>122</v>
      </c>
      <c r="O200" s="36" t="s">
        <v>116</v>
      </c>
      <c r="P200" s="30" t="s">
        <v>554</v>
      </c>
      <c r="Q200" s="30" t="s">
        <v>139</v>
      </c>
    </row>
    <row r="201" spans="1:17" ht="15" customHeight="1" x14ac:dyDescent="0.35">
      <c r="A201" s="37" t="s">
        <v>555</v>
      </c>
      <c r="B201" s="38">
        <v>46331</v>
      </c>
      <c r="C201" s="37" t="s">
        <v>58</v>
      </c>
      <c r="D201" s="37">
        <v>11</v>
      </c>
      <c r="E201" s="39" t="s">
        <v>248</v>
      </c>
      <c r="F201" s="39" t="s">
        <v>79</v>
      </c>
      <c r="G201" s="37" t="s">
        <v>173</v>
      </c>
      <c r="H201" s="39" t="s">
        <v>53</v>
      </c>
      <c r="I201" s="39" t="s">
        <v>201</v>
      </c>
      <c r="J201" s="37" t="s">
        <v>93</v>
      </c>
      <c r="K201" s="40">
        <v>0.7</v>
      </c>
      <c r="L201" s="41">
        <v>356</v>
      </c>
      <c r="M201" s="42">
        <v>7360</v>
      </c>
      <c r="N201" s="37" t="s">
        <v>115</v>
      </c>
      <c r="O201" s="49" t="s">
        <v>142</v>
      </c>
      <c r="P201" s="37" t="s">
        <v>556</v>
      </c>
      <c r="Q201" s="37" t="s">
        <v>118</v>
      </c>
    </row>
    <row r="202" spans="1:17" ht="15" customHeight="1" x14ac:dyDescent="0.35">
      <c r="A202" s="30" t="s">
        <v>557</v>
      </c>
      <c r="B202" s="31">
        <v>46332</v>
      </c>
      <c r="C202" s="30" t="s">
        <v>58</v>
      </c>
      <c r="D202" s="30">
        <v>11</v>
      </c>
      <c r="E202" s="32" t="s">
        <v>351</v>
      </c>
      <c r="F202" s="32" t="s">
        <v>83</v>
      </c>
      <c r="G202" s="30" t="s">
        <v>113</v>
      </c>
      <c r="H202" s="32" t="s">
        <v>55</v>
      </c>
      <c r="I202" s="32" t="s">
        <v>194</v>
      </c>
      <c r="J202" s="30" t="s">
        <v>93</v>
      </c>
      <c r="K202" s="33">
        <v>3.8</v>
      </c>
      <c r="L202" s="34">
        <v>4157</v>
      </c>
      <c r="M202" s="35">
        <v>38824</v>
      </c>
      <c r="N202" s="30" t="s">
        <v>122</v>
      </c>
      <c r="O202" s="44" t="s">
        <v>128</v>
      </c>
      <c r="P202" s="30" t="s">
        <v>558</v>
      </c>
      <c r="Q202" s="30" t="s">
        <v>130</v>
      </c>
    </row>
    <row r="203" spans="1:17" ht="15" customHeight="1" x14ac:dyDescent="0.35">
      <c r="A203" s="37" t="s">
        <v>559</v>
      </c>
      <c r="B203" s="38">
        <v>46332</v>
      </c>
      <c r="C203" s="37" t="s">
        <v>58</v>
      </c>
      <c r="D203" s="37">
        <v>11</v>
      </c>
      <c r="E203" s="39" t="s">
        <v>275</v>
      </c>
      <c r="F203" s="39" t="s">
        <v>81</v>
      </c>
      <c r="G203" s="37" t="s">
        <v>208</v>
      </c>
      <c r="H203" s="39" t="s">
        <v>62</v>
      </c>
      <c r="I203" s="39" t="s">
        <v>160</v>
      </c>
      <c r="J203" s="37" t="s">
        <v>93</v>
      </c>
      <c r="K203" s="40">
        <v>2.8</v>
      </c>
      <c r="L203" s="41">
        <v>2252</v>
      </c>
      <c r="M203" s="42">
        <v>30736</v>
      </c>
      <c r="N203" s="37" t="s">
        <v>115</v>
      </c>
      <c r="O203" s="45" t="s">
        <v>128</v>
      </c>
      <c r="P203" s="37" t="s">
        <v>560</v>
      </c>
      <c r="Q203" s="37" t="s">
        <v>125</v>
      </c>
    </row>
    <row r="204" spans="1:17" ht="15" customHeight="1" x14ac:dyDescent="0.35">
      <c r="A204" s="30" t="s">
        <v>561</v>
      </c>
      <c r="B204" s="31">
        <v>46333</v>
      </c>
      <c r="C204" s="30" t="s">
        <v>58</v>
      </c>
      <c r="D204" s="30">
        <v>11</v>
      </c>
      <c r="E204" s="32" t="s">
        <v>223</v>
      </c>
      <c r="F204" s="32" t="s">
        <v>81</v>
      </c>
      <c r="G204" s="30" t="s">
        <v>208</v>
      </c>
      <c r="H204" s="32" t="s">
        <v>62</v>
      </c>
      <c r="I204" s="32" t="s">
        <v>156</v>
      </c>
      <c r="J204" s="30" t="s">
        <v>94</v>
      </c>
      <c r="K204" s="33">
        <v>1.3</v>
      </c>
      <c r="L204" s="34">
        <v>1331</v>
      </c>
      <c r="M204" s="35">
        <v>13522</v>
      </c>
      <c r="N204" s="30" t="s">
        <v>122</v>
      </c>
      <c r="O204" s="47" t="s">
        <v>142</v>
      </c>
      <c r="P204" s="30" t="s">
        <v>562</v>
      </c>
      <c r="Q204" s="30" t="s">
        <v>139</v>
      </c>
    </row>
    <row r="205" spans="1:17" ht="15" customHeight="1" x14ac:dyDescent="0.35">
      <c r="A205" s="37" t="s">
        <v>563</v>
      </c>
      <c r="B205" s="38">
        <v>46333</v>
      </c>
      <c r="C205" s="37" t="s">
        <v>58</v>
      </c>
      <c r="D205" s="37">
        <v>11</v>
      </c>
      <c r="E205" s="39" t="s">
        <v>177</v>
      </c>
      <c r="F205" s="39" t="s">
        <v>80</v>
      </c>
      <c r="G205" s="37" t="s">
        <v>113</v>
      </c>
      <c r="H205" s="39" t="s">
        <v>63</v>
      </c>
      <c r="I205" s="39" t="s">
        <v>146</v>
      </c>
      <c r="J205" s="37" t="s">
        <v>93</v>
      </c>
      <c r="K205" s="40">
        <v>7.7</v>
      </c>
      <c r="L205" s="41">
        <v>9044</v>
      </c>
      <c r="M205" s="42">
        <v>58816</v>
      </c>
      <c r="N205" s="37" t="s">
        <v>122</v>
      </c>
      <c r="O205" s="46" t="s">
        <v>116</v>
      </c>
      <c r="P205" s="37" t="s">
        <v>564</v>
      </c>
      <c r="Q205" s="37" t="s">
        <v>118</v>
      </c>
    </row>
    <row r="206" spans="1:17" ht="15" customHeight="1" x14ac:dyDescent="0.35">
      <c r="A206" s="30" t="s">
        <v>565</v>
      </c>
      <c r="B206" s="31">
        <v>46336</v>
      </c>
      <c r="C206" s="30" t="s">
        <v>58</v>
      </c>
      <c r="D206" s="30">
        <v>11</v>
      </c>
      <c r="E206" s="32" t="s">
        <v>155</v>
      </c>
      <c r="F206" s="32" t="s">
        <v>75</v>
      </c>
      <c r="G206" s="30" t="s">
        <v>113</v>
      </c>
      <c r="H206" s="32" t="s">
        <v>33</v>
      </c>
      <c r="I206" s="32" t="s">
        <v>121</v>
      </c>
      <c r="J206" s="30" t="s">
        <v>92</v>
      </c>
      <c r="K206" s="33">
        <v>1.2</v>
      </c>
      <c r="L206" s="34">
        <v>749</v>
      </c>
      <c r="M206" s="35">
        <v>9324</v>
      </c>
      <c r="N206" s="30" t="s">
        <v>122</v>
      </c>
      <c r="O206" s="47" t="s">
        <v>142</v>
      </c>
      <c r="P206" s="30" t="s">
        <v>566</v>
      </c>
      <c r="Q206" s="30" t="s">
        <v>118</v>
      </c>
    </row>
    <row r="207" spans="1:17" ht="15" customHeight="1" x14ac:dyDescent="0.35">
      <c r="A207" s="37" t="s">
        <v>567</v>
      </c>
      <c r="B207" s="38">
        <v>46336</v>
      </c>
      <c r="C207" s="37" t="s">
        <v>58</v>
      </c>
      <c r="D207" s="37">
        <v>11</v>
      </c>
      <c r="E207" s="39" t="s">
        <v>163</v>
      </c>
      <c r="F207" s="39" t="s">
        <v>75</v>
      </c>
      <c r="G207" s="37" t="s">
        <v>113</v>
      </c>
      <c r="H207" s="39" t="s">
        <v>33</v>
      </c>
      <c r="I207" s="39" t="s">
        <v>174</v>
      </c>
      <c r="J207" s="37" t="s">
        <v>94</v>
      </c>
      <c r="K207" s="40">
        <v>18.8</v>
      </c>
      <c r="L207" s="41">
        <v>19031</v>
      </c>
      <c r="M207" s="42">
        <v>160672</v>
      </c>
      <c r="N207" s="37" t="s">
        <v>122</v>
      </c>
      <c r="O207" s="43" t="s">
        <v>123</v>
      </c>
      <c r="P207" s="37" t="s">
        <v>568</v>
      </c>
      <c r="Q207" s="37" t="s">
        <v>118</v>
      </c>
    </row>
    <row r="208" spans="1:17" ht="15" customHeight="1" x14ac:dyDescent="0.35">
      <c r="A208" s="30" t="s">
        <v>569</v>
      </c>
      <c r="B208" s="31">
        <v>46339</v>
      </c>
      <c r="C208" s="30" t="s">
        <v>58</v>
      </c>
      <c r="D208" s="30">
        <v>11</v>
      </c>
      <c r="E208" s="32" t="s">
        <v>163</v>
      </c>
      <c r="F208" s="32" t="s">
        <v>75</v>
      </c>
      <c r="G208" s="30" t="s">
        <v>113</v>
      </c>
      <c r="H208" s="32" t="s">
        <v>42</v>
      </c>
      <c r="I208" s="32" t="s">
        <v>146</v>
      </c>
      <c r="J208" s="30" t="s">
        <v>92</v>
      </c>
      <c r="K208" s="33">
        <v>1</v>
      </c>
      <c r="L208" s="34">
        <v>543</v>
      </c>
      <c r="M208" s="35">
        <v>11136</v>
      </c>
      <c r="N208" s="30" t="s">
        <v>122</v>
      </c>
      <c r="O208" s="47" t="s">
        <v>142</v>
      </c>
      <c r="P208" s="30" t="s">
        <v>570</v>
      </c>
      <c r="Q208" s="30" t="s">
        <v>118</v>
      </c>
    </row>
    <row r="209" spans="1:17" ht="15" customHeight="1" x14ac:dyDescent="0.35">
      <c r="A209" s="37" t="s">
        <v>571</v>
      </c>
      <c r="B209" s="38">
        <v>46340</v>
      </c>
      <c r="C209" s="37" t="s">
        <v>58</v>
      </c>
      <c r="D209" s="37">
        <v>11</v>
      </c>
      <c r="E209" s="39" t="s">
        <v>187</v>
      </c>
      <c r="F209" s="39" t="s">
        <v>80</v>
      </c>
      <c r="G209" s="37" t="s">
        <v>113</v>
      </c>
      <c r="H209" s="39" t="s">
        <v>39</v>
      </c>
      <c r="I209" s="39" t="s">
        <v>194</v>
      </c>
      <c r="J209" s="37" t="s">
        <v>93</v>
      </c>
      <c r="K209" s="40">
        <v>1.5</v>
      </c>
      <c r="L209" s="41">
        <v>1447</v>
      </c>
      <c r="M209" s="42">
        <v>12288</v>
      </c>
      <c r="N209" s="37" t="s">
        <v>122</v>
      </c>
      <c r="O209" s="49" t="s">
        <v>142</v>
      </c>
      <c r="P209" s="37" t="s">
        <v>572</v>
      </c>
      <c r="Q209" s="37" t="s">
        <v>125</v>
      </c>
    </row>
    <row r="210" spans="1:17" ht="15" customHeight="1" x14ac:dyDescent="0.35">
      <c r="A210" s="30" t="s">
        <v>573</v>
      </c>
      <c r="B210" s="31">
        <v>46340</v>
      </c>
      <c r="C210" s="30" t="s">
        <v>58</v>
      </c>
      <c r="D210" s="30">
        <v>11</v>
      </c>
      <c r="E210" s="32" t="s">
        <v>163</v>
      </c>
      <c r="F210" s="32" t="s">
        <v>75</v>
      </c>
      <c r="G210" s="30" t="s">
        <v>113</v>
      </c>
      <c r="H210" s="32" t="s">
        <v>57</v>
      </c>
      <c r="I210" s="32" t="s">
        <v>201</v>
      </c>
      <c r="J210" s="30" t="s">
        <v>94</v>
      </c>
      <c r="K210" s="33">
        <v>1.8</v>
      </c>
      <c r="L210" s="34">
        <v>1049</v>
      </c>
      <c r="M210" s="35">
        <v>16768</v>
      </c>
      <c r="N210" s="30" t="s">
        <v>122</v>
      </c>
      <c r="O210" s="47" t="s">
        <v>142</v>
      </c>
      <c r="P210" s="30" t="s">
        <v>574</v>
      </c>
      <c r="Q210" s="30" t="s">
        <v>125</v>
      </c>
    </row>
    <row r="211" spans="1:17" ht="15" customHeight="1" x14ac:dyDescent="0.35">
      <c r="A211" s="37" t="s">
        <v>575</v>
      </c>
      <c r="B211" s="38">
        <v>46342</v>
      </c>
      <c r="C211" s="37" t="s">
        <v>58</v>
      </c>
      <c r="D211" s="37">
        <v>11</v>
      </c>
      <c r="E211" s="39" t="s">
        <v>120</v>
      </c>
      <c r="F211" s="39" t="s">
        <v>77</v>
      </c>
      <c r="G211" s="37" t="s">
        <v>113</v>
      </c>
      <c r="H211" s="39" t="s">
        <v>33</v>
      </c>
      <c r="I211" s="39" t="s">
        <v>194</v>
      </c>
      <c r="J211" s="37" t="s">
        <v>94</v>
      </c>
      <c r="K211" s="40">
        <v>34.4</v>
      </c>
      <c r="L211" s="41">
        <v>38804</v>
      </c>
      <c r="M211" s="42">
        <v>327964</v>
      </c>
      <c r="N211" s="37" t="s">
        <v>122</v>
      </c>
      <c r="O211" s="43" t="s">
        <v>123</v>
      </c>
      <c r="P211" s="37" t="s">
        <v>576</v>
      </c>
      <c r="Q211" s="37" t="s">
        <v>118</v>
      </c>
    </row>
    <row r="212" spans="1:17" ht="15" customHeight="1" x14ac:dyDescent="0.35">
      <c r="A212" s="30" t="s">
        <v>577</v>
      </c>
      <c r="B212" s="31">
        <v>46344</v>
      </c>
      <c r="C212" s="30" t="s">
        <v>58</v>
      </c>
      <c r="D212" s="30">
        <v>11</v>
      </c>
      <c r="E212" s="32" t="s">
        <v>135</v>
      </c>
      <c r="F212" s="32" t="s">
        <v>75</v>
      </c>
      <c r="G212" s="30" t="s">
        <v>113</v>
      </c>
      <c r="H212" s="32" t="s">
        <v>46</v>
      </c>
      <c r="I212" s="32" t="s">
        <v>146</v>
      </c>
      <c r="J212" s="30" t="s">
        <v>94</v>
      </c>
      <c r="K212" s="33">
        <v>0.7</v>
      </c>
      <c r="L212" s="34">
        <v>368</v>
      </c>
      <c r="M212" s="35">
        <v>6256</v>
      </c>
      <c r="N212" s="30" t="s">
        <v>115</v>
      </c>
      <c r="O212" s="47" t="s">
        <v>142</v>
      </c>
      <c r="P212" s="30" t="s">
        <v>578</v>
      </c>
      <c r="Q212" s="30" t="s">
        <v>139</v>
      </c>
    </row>
    <row r="213" spans="1:17" ht="15" customHeight="1" x14ac:dyDescent="0.35">
      <c r="A213" s="37" t="s">
        <v>579</v>
      </c>
      <c r="B213" s="38">
        <v>46347</v>
      </c>
      <c r="C213" s="37" t="s">
        <v>58</v>
      </c>
      <c r="D213" s="37">
        <v>11</v>
      </c>
      <c r="E213" s="39" t="s">
        <v>135</v>
      </c>
      <c r="F213" s="39" t="s">
        <v>75</v>
      </c>
      <c r="G213" s="37" t="s">
        <v>113</v>
      </c>
      <c r="H213" s="39" t="s">
        <v>46</v>
      </c>
      <c r="I213" s="39" t="s">
        <v>174</v>
      </c>
      <c r="J213" s="37" t="s">
        <v>92</v>
      </c>
      <c r="K213" s="40">
        <v>1.6</v>
      </c>
      <c r="L213" s="41">
        <v>891</v>
      </c>
      <c r="M213" s="42">
        <v>11439</v>
      </c>
      <c r="N213" s="37" t="s">
        <v>122</v>
      </c>
      <c r="O213" s="49" t="s">
        <v>142</v>
      </c>
      <c r="P213" s="37" t="s">
        <v>580</v>
      </c>
      <c r="Q213" s="37" t="s">
        <v>139</v>
      </c>
    </row>
    <row r="214" spans="1:17" ht="15" customHeight="1" x14ac:dyDescent="0.35">
      <c r="A214" s="30" t="s">
        <v>581</v>
      </c>
      <c r="B214" s="31">
        <v>46351</v>
      </c>
      <c r="C214" s="30" t="s">
        <v>58</v>
      </c>
      <c r="D214" s="30">
        <v>11</v>
      </c>
      <c r="E214" s="32" t="s">
        <v>228</v>
      </c>
      <c r="F214" s="32" t="s">
        <v>78</v>
      </c>
      <c r="G214" s="30" t="s">
        <v>113</v>
      </c>
      <c r="H214" s="32" t="s">
        <v>37</v>
      </c>
      <c r="I214" s="32" t="s">
        <v>114</v>
      </c>
      <c r="J214" s="30" t="s">
        <v>93</v>
      </c>
      <c r="K214" s="33">
        <v>0.9</v>
      </c>
      <c r="L214" s="34">
        <v>893</v>
      </c>
      <c r="M214" s="35">
        <v>8618</v>
      </c>
      <c r="N214" s="30" t="s">
        <v>122</v>
      </c>
      <c r="O214" s="47" t="s">
        <v>142</v>
      </c>
      <c r="P214" s="30" t="s">
        <v>582</v>
      </c>
      <c r="Q214" s="30" t="s">
        <v>130</v>
      </c>
    </row>
    <row r="215" spans="1:17" ht="15" customHeight="1" x14ac:dyDescent="0.35">
      <c r="A215" s="37" t="s">
        <v>583</v>
      </c>
      <c r="B215" s="38">
        <v>46352</v>
      </c>
      <c r="C215" s="37" t="s">
        <v>58</v>
      </c>
      <c r="D215" s="37">
        <v>11</v>
      </c>
      <c r="E215" s="39" t="s">
        <v>248</v>
      </c>
      <c r="F215" s="39" t="s">
        <v>79</v>
      </c>
      <c r="G215" s="37" t="s">
        <v>173</v>
      </c>
      <c r="H215" s="39" t="s">
        <v>53</v>
      </c>
      <c r="I215" s="39" t="s">
        <v>166</v>
      </c>
      <c r="J215" s="37" t="s">
        <v>92</v>
      </c>
      <c r="K215" s="40">
        <v>1</v>
      </c>
      <c r="L215" s="41">
        <v>981</v>
      </c>
      <c r="M215" s="42">
        <v>9064</v>
      </c>
      <c r="N215" s="37" t="s">
        <v>122</v>
      </c>
      <c r="O215" s="49" t="s">
        <v>142</v>
      </c>
      <c r="P215" s="37" t="s">
        <v>584</v>
      </c>
      <c r="Q215" s="37" t="s">
        <v>118</v>
      </c>
    </row>
    <row r="216" spans="1:17" ht="15" customHeight="1" x14ac:dyDescent="0.35">
      <c r="A216" s="30" t="s">
        <v>585</v>
      </c>
      <c r="B216" s="31">
        <v>46353</v>
      </c>
      <c r="C216" s="30" t="s">
        <v>58</v>
      </c>
      <c r="D216" s="30">
        <v>11</v>
      </c>
      <c r="E216" s="32" t="s">
        <v>204</v>
      </c>
      <c r="F216" s="32" t="s">
        <v>79</v>
      </c>
      <c r="G216" s="30" t="s">
        <v>173</v>
      </c>
      <c r="H216" s="32" t="s">
        <v>44</v>
      </c>
      <c r="I216" s="32" t="s">
        <v>174</v>
      </c>
      <c r="J216" s="30" t="s">
        <v>93</v>
      </c>
      <c r="K216" s="33">
        <v>12.9</v>
      </c>
      <c r="L216" s="34">
        <v>7056</v>
      </c>
      <c r="M216" s="35">
        <v>105491</v>
      </c>
      <c r="N216" s="30" t="s">
        <v>122</v>
      </c>
      <c r="O216" s="36" t="s">
        <v>116</v>
      </c>
      <c r="P216" s="30" t="s">
        <v>586</v>
      </c>
      <c r="Q216" s="30" t="s">
        <v>139</v>
      </c>
    </row>
    <row r="217" spans="1:17" ht="15" customHeight="1" x14ac:dyDescent="0.35">
      <c r="A217" s="37" t="s">
        <v>587</v>
      </c>
      <c r="B217" s="38">
        <v>46355</v>
      </c>
      <c r="C217" s="37" t="s">
        <v>58</v>
      </c>
      <c r="D217" s="37">
        <v>11</v>
      </c>
      <c r="E217" s="39" t="s">
        <v>187</v>
      </c>
      <c r="F217" s="39" t="s">
        <v>80</v>
      </c>
      <c r="G217" s="37" t="s">
        <v>113</v>
      </c>
      <c r="H217" s="39" t="s">
        <v>55</v>
      </c>
      <c r="I217" s="39" t="s">
        <v>160</v>
      </c>
      <c r="J217" s="37" t="s">
        <v>93</v>
      </c>
      <c r="K217" s="40">
        <v>4.8</v>
      </c>
      <c r="L217" s="41">
        <v>3356</v>
      </c>
      <c r="M217" s="42">
        <v>45432</v>
      </c>
      <c r="N217" s="37" t="s">
        <v>122</v>
      </c>
      <c r="O217" s="45" t="s">
        <v>128</v>
      </c>
      <c r="P217" s="37" t="s">
        <v>588</v>
      </c>
      <c r="Q217" s="37" t="s">
        <v>130</v>
      </c>
    </row>
    <row r="218" spans="1:17" ht="15" customHeight="1" x14ac:dyDescent="0.35">
      <c r="A218" s="30" t="s">
        <v>589</v>
      </c>
      <c r="B218" s="31">
        <v>46356</v>
      </c>
      <c r="C218" s="30" t="s">
        <v>58</v>
      </c>
      <c r="D218" s="30">
        <v>11</v>
      </c>
      <c r="E218" s="32" t="s">
        <v>228</v>
      </c>
      <c r="F218" s="32" t="s">
        <v>78</v>
      </c>
      <c r="G218" s="30" t="s">
        <v>113</v>
      </c>
      <c r="H218" s="32" t="s">
        <v>64</v>
      </c>
      <c r="I218" s="32" t="s">
        <v>194</v>
      </c>
      <c r="J218" s="30" t="s">
        <v>93</v>
      </c>
      <c r="K218" s="33">
        <v>7</v>
      </c>
      <c r="L218" s="34">
        <v>8029</v>
      </c>
      <c r="M218" s="35">
        <v>78094</v>
      </c>
      <c r="N218" s="30" t="s">
        <v>122</v>
      </c>
      <c r="O218" s="36" t="s">
        <v>116</v>
      </c>
      <c r="P218" s="30" t="s">
        <v>590</v>
      </c>
      <c r="Q218" s="30" t="s">
        <v>118</v>
      </c>
    </row>
    <row r="219" spans="1:17" ht="15" customHeight="1" x14ac:dyDescent="0.35">
      <c r="A219" s="37" t="s">
        <v>591</v>
      </c>
      <c r="B219" s="38">
        <v>46356</v>
      </c>
      <c r="C219" s="37" t="s">
        <v>58</v>
      </c>
      <c r="D219" s="37">
        <v>11</v>
      </c>
      <c r="E219" s="39" t="s">
        <v>177</v>
      </c>
      <c r="F219" s="39" t="s">
        <v>80</v>
      </c>
      <c r="G219" s="37" t="s">
        <v>113</v>
      </c>
      <c r="H219" s="39" t="s">
        <v>33</v>
      </c>
      <c r="I219" s="39" t="s">
        <v>194</v>
      </c>
      <c r="J219" s="37" t="s">
        <v>94</v>
      </c>
      <c r="K219" s="40">
        <v>4.9000000000000004</v>
      </c>
      <c r="L219" s="41">
        <v>5085</v>
      </c>
      <c r="M219" s="42">
        <v>45732</v>
      </c>
      <c r="N219" s="37" t="s">
        <v>115</v>
      </c>
      <c r="O219" s="45" t="s">
        <v>128</v>
      </c>
      <c r="P219" s="37" t="s">
        <v>592</v>
      </c>
      <c r="Q219" s="37" t="s">
        <v>139</v>
      </c>
    </row>
    <row r="220" spans="1:17" ht="15" customHeight="1" x14ac:dyDescent="0.35">
      <c r="A220" s="30" t="s">
        <v>593</v>
      </c>
      <c r="B220" s="31">
        <v>46358</v>
      </c>
      <c r="C220" s="30" t="s">
        <v>60</v>
      </c>
      <c r="D220" s="30">
        <v>12</v>
      </c>
      <c r="E220" s="32" t="s">
        <v>155</v>
      </c>
      <c r="F220" s="32" t="s">
        <v>75</v>
      </c>
      <c r="G220" s="30" t="s">
        <v>113</v>
      </c>
      <c r="H220" s="32" t="s">
        <v>33</v>
      </c>
      <c r="I220" s="32" t="s">
        <v>174</v>
      </c>
      <c r="J220" s="30" t="s">
        <v>94</v>
      </c>
      <c r="K220" s="33">
        <v>4.3</v>
      </c>
      <c r="L220" s="34">
        <v>2726</v>
      </c>
      <c r="M220" s="35">
        <v>40302</v>
      </c>
      <c r="N220" s="30" t="s">
        <v>115</v>
      </c>
      <c r="O220" s="44" t="s">
        <v>128</v>
      </c>
      <c r="P220" s="30" t="s">
        <v>594</v>
      </c>
      <c r="Q220" s="30" t="s">
        <v>130</v>
      </c>
    </row>
    <row r="221" spans="1:17" ht="15" customHeight="1" x14ac:dyDescent="0.35">
      <c r="A221" s="37" t="s">
        <v>595</v>
      </c>
      <c r="B221" s="38">
        <v>46359</v>
      </c>
      <c r="C221" s="37" t="s">
        <v>60</v>
      </c>
      <c r="D221" s="37">
        <v>12</v>
      </c>
      <c r="E221" s="39" t="s">
        <v>112</v>
      </c>
      <c r="F221" s="39" t="s">
        <v>77</v>
      </c>
      <c r="G221" s="37" t="s">
        <v>113</v>
      </c>
      <c r="H221" s="39" t="s">
        <v>55</v>
      </c>
      <c r="I221" s="39" t="s">
        <v>166</v>
      </c>
      <c r="J221" s="37" t="s">
        <v>94</v>
      </c>
      <c r="K221" s="40">
        <v>0.9</v>
      </c>
      <c r="L221" s="41">
        <v>922</v>
      </c>
      <c r="M221" s="42">
        <v>6983</v>
      </c>
      <c r="N221" s="37" t="s">
        <v>122</v>
      </c>
      <c r="O221" s="49" t="s">
        <v>142</v>
      </c>
      <c r="P221" s="37" t="s">
        <v>596</v>
      </c>
      <c r="Q221" s="37" t="s">
        <v>130</v>
      </c>
    </row>
    <row r="222" spans="1:17" ht="15" customHeight="1" x14ac:dyDescent="0.35">
      <c r="A222" s="30" t="s">
        <v>597</v>
      </c>
      <c r="B222" s="31">
        <v>46360</v>
      </c>
      <c r="C222" s="30" t="s">
        <v>60</v>
      </c>
      <c r="D222" s="30">
        <v>12</v>
      </c>
      <c r="E222" s="32" t="s">
        <v>187</v>
      </c>
      <c r="F222" s="32" t="s">
        <v>80</v>
      </c>
      <c r="G222" s="30" t="s">
        <v>113</v>
      </c>
      <c r="H222" s="32" t="s">
        <v>51</v>
      </c>
      <c r="I222" s="32" t="s">
        <v>160</v>
      </c>
      <c r="J222" s="30" t="s">
        <v>93</v>
      </c>
      <c r="K222" s="33">
        <v>4.9000000000000004</v>
      </c>
      <c r="L222" s="34">
        <v>5539</v>
      </c>
      <c r="M222" s="35">
        <v>49956</v>
      </c>
      <c r="N222" s="30" t="s">
        <v>122</v>
      </c>
      <c r="O222" s="44" t="s">
        <v>128</v>
      </c>
      <c r="P222" s="30" t="s">
        <v>598</v>
      </c>
      <c r="Q222" s="30" t="s">
        <v>125</v>
      </c>
    </row>
    <row r="223" spans="1:17" ht="15" customHeight="1" x14ac:dyDescent="0.35">
      <c r="A223" s="37" t="s">
        <v>599</v>
      </c>
      <c r="B223" s="38">
        <v>46360</v>
      </c>
      <c r="C223" s="37" t="s">
        <v>60</v>
      </c>
      <c r="D223" s="37">
        <v>12</v>
      </c>
      <c r="E223" s="39" t="s">
        <v>223</v>
      </c>
      <c r="F223" s="39" t="s">
        <v>81</v>
      </c>
      <c r="G223" s="37" t="s">
        <v>208</v>
      </c>
      <c r="H223" s="39" t="s">
        <v>63</v>
      </c>
      <c r="I223" s="39" t="s">
        <v>174</v>
      </c>
      <c r="J223" s="37" t="s">
        <v>93</v>
      </c>
      <c r="K223" s="40">
        <v>1.7</v>
      </c>
      <c r="L223" s="41">
        <v>890</v>
      </c>
      <c r="M223" s="42">
        <v>15980</v>
      </c>
      <c r="N223" s="37" t="s">
        <v>122</v>
      </c>
      <c r="O223" s="49" t="s">
        <v>142</v>
      </c>
      <c r="P223" s="37" t="s">
        <v>600</v>
      </c>
      <c r="Q223" s="37" t="s">
        <v>125</v>
      </c>
    </row>
    <row r="224" spans="1:17" ht="15" customHeight="1" x14ac:dyDescent="0.35">
      <c r="A224" s="30" t="s">
        <v>601</v>
      </c>
      <c r="B224" s="31">
        <v>46363</v>
      </c>
      <c r="C224" s="30" t="s">
        <v>60</v>
      </c>
      <c r="D224" s="30">
        <v>12</v>
      </c>
      <c r="E224" s="32" t="s">
        <v>177</v>
      </c>
      <c r="F224" s="32" t="s">
        <v>80</v>
      </c>
      <c r="G224" s="30" t="s">
        <v>113</v>
      </c>
      <c r="H224" s="32" t="s">
        <v>62</v>
      </c>
      <c r="I224" s="32" t="s">
        <v>146</v>
      </c>
      <c r="J224" s="30" t="s">
        <v>93</v>
      </c>
      <c r="K224" s="33">
        <v>2.8</v>
      </c>
      <c r="L224" s="34">
        <v>2585</v>
      </c>
      <c r="M224" s="35">
        <v>23953</v>
      </c>
      <c r="N224" s="30" t="s">
        <v>122</v>
      </c>
      <c r="O224" s="44" t="s">
        <v>128</v>
      </c>
      <c r="P224" s="30" t="s">
        <v>602</v>
      </c>
      <c r="Q224" s="30" t="s">
        <v>139</v>
      </c>
    </row>
    <row r="225" spans="1:17" ht="15" customHeight="1" x14ac:dyDescent="0.35">
      <c r="A225" s="37" t="s">
        <v>603</v>
      </c>
      <c r="B225" s="38">
        <v>46366</v>
      </c>
      <c r="C225" s="37" t="s">
        <v>60</v>
      </c>
      <c r="D225" s="37">
        <v>12</v>
      </c>
      <c r="E225" s="39" t="s">
        <v>169</v>
      </c>
      <c r="F225" s="39" t="s">
        <v>78</v>
      </c>
      <c r="G225" s="37" t="s">
        <v>113</v>
      </c>
      <c r="H225" s="39" t="s">
        <v>51</v>
      </c>
      <c r="I225" s="39" t="s">
        <v>201</v>
      </c>
      <c r="J225" s="37" t="s">
        <v>92</v>
      </c>
      <c r="K225" s="40">
        <v>1.6</v>
      </c>
      <c r="L225" s="41">
        <v>1117</v>
      </c>
      <c r="M225" s="42">
        <v>18308</v>
      </c>
      <c r="N225" s="37" t="s">
        <v>122</v>
      </c>
      <c r="O225" s="49" t="s">
        <v>142</v>
      </c>
      <c r="P225" s="37" t="s">
        <v>604</v>
      </c>
      <c r="Q225" s="37" t="s">
        <v>125</v>
      </c>
    </row>
    <row r="226" spans="1:17" ht="15" customHeight="1" x14ac:dyDescent="0.35">
      <c r="A226" s="30" t="s">
        <v>605</v>
      </c>
      <c r="B226" s="31">
        <v>46369</v>
      </c>
      <c r="C226" s="30" t="s">
        <v>60</v>
      </c>
      <c r="D226" s="30">
        <v>12</v>
      </c>
      <c r="E226" s="32" t="s">
        <v>149</v>
      </c>
      <c r="F226" s="32" t="s">
        <v>75</v>
      </c>
      <c r="G226" s="30" t="s">
        <v>113</v>
      </c>
      <c r="H226" s="32" t="s">
        <v>33</v>
      </c>
      <c r="I226" s="32" t="s">
        <v>160</v>
      </c>
      <c r="J226" s="30" t="s">
        <v>94</v>
      </c>
      <c r="K226" s="33">
        <v>14.3</v>
      </c>
      <c r="L226" s="34">
        <v>9631</v>
      </c>
      <c r="M226" s="35">
        <v>130024</v>
      </c>
      <c r="N226" s="30" t="s">
        <v>122</v>
      </c>
      <c r="O226" s="36" t="s">
        <v>116</v>
      </c>
      <c r="P226" s="30" t="s">
        <v>606</v>
      </c>
      <c r="Q226" s="30" t="s">
        <v>125</v>
      </c>
    </row>
    <row r="227" spans="1:17" ht="15" customHeight="1" x14ac:dyDescent="0.35">
      <c r="A227" s="37" t="s">
        <v>607</v>
      </c>
      <c r="B227" s="38">
        <v>46371</v>
      </c>
      <c r="C227" s="37" t="s">
        <v>60</v>
      </c>
      <c r="D227" s="37">
        <v>12</v>
      </c>
      <c r="E227" s="39" t="s">
        <v>248</v>
      </c>
      <c r="F227" s="39" t="s">
        <v>79</v>
      </c>
      <c r="G227" s="37" t="s">
        <v>173</v>
      </c>
      <c r="H227" s="39" t="s">
        <v>53</v>
      </c>
      <c r="I227" s="39" t="s">
        <v>146</v>
      </c>
      <c r="J227" s="37" t="s">
        <v>94</v>
      </c>
      <c r="K227" s="40">
        <v>5.5</v>
      </c>
      <c r="L227" s="41">
        <v>4557</v>
      </c>
      <c r="M227" s="42">
        <v>64198</v>
      </c>
      <c r="N227" s="37" t="s">
        <v>122</v>
      </c>
      <c r="O227" s="45" t="s">
        <v>128</v>
      </c>
      <c r="P227" s="37" t="s">
        <v>608</v>
      </c>
      <c r="Q227" s="37" t="s">
        <v>130</v>
      </c>
    </row>
    <row r="228" spans="1:17" ht="15" customHeight="1" x14ac:dyDescent="0.35">
      <c r="A228" s="30" t="s">
        <v>609</v>
      </c>
      <c r="B228" s="31">
        <v>46372</v>
      </c>
      <c r="C228" s="30" t="s">
        <v>60</v>
      </c>
      <c r="D228" s="30">
        <v>12</v>
      </c>
      <c r="E228" s="32" t="s">
        <v>248</v>
      </c>
      <c r="F228" s="32" t="s">
        <v>79</v>
      </c>
      <c r="G228" s="30" t="s">
        <v>173</v>
      </c>
      <c r="H228" s="32" t="s">
        <v>44</v>
      </c>
      <c r="I228" s="32" t="s">
        <v>132</v>
      </c>
      <c r="J228" s="30" t="s">
        <v>94</v>
      </c>
      <c r="K228" s="33">
        <v>3.4</v>
      </c>
      <c r="L228" s="34">
        <v>3551</v>
      </c>
      <c r="M228" s="35">
        <v>31647</v>
      </c>
      <c r="N228" s="30" t="s">
        <v>122</v>
      </c>
      <c r="O228" s="44" t="s">
        <v>128</v>
      </c>
      <c r="P228" s="30" t="s">
        <v>610</v>
      </c>
      <c r="Q228" s="30" t="s">
        <v>130</v>
      </c>
    </row>
    <row r="229" spans="1:17" ht="15" customHeight="1" x14ac:dyDescent="0.35">
      <c r="A229" s="37" t="s">
        <v>611</v>
      </c>
      <c r="B229" s="38">
        <v>46373</v>
      </c>
      <c r="C229" s="37" t="s">
        <v>60</v>
      </c>
      <c r="D229" s="37">
        <v>12</v>
      </c>
      <c r="E229" s="39" t="s">
        <v>182</v>
      </c>
      <c r="F229" s="39" t="s">
        <v>84</v>
      </c>
      <c r="G229" s="37" t="s">
        <v>113</v>
      </c>
      <c r="H229" s="39" t="s">
        <v>39</v>
      </c>
      <c r="I229" s="39" t="s">
        <v>166</v>
      </c>
      <c r="J229" s="37" t="s">
        <v>92</v>
      </c>
      <c r="K229" s="40">
        <v>1.3</v>
      </c>
      <c r="L229" s="41">
        <v>1529</v>
      </c>
      <c r="M229" s="42">
        <v>13225</v>
      </c>
      <c r="N229" s="37" t="s">
        <v>122</v>
      </c>
      <c r="O229" s="49" t="s">
        <v>142</v>
      </c>
      <c r="P229" s="37" t="s">
        <v>612</v>
      </c>
      <c r="Q229" s="37" t="s">
        <v>139</v>
      </c>
    </row>
    <row r="230" spans="1:17" ht="15" customHeight="1" x14ac:dyDescent="0.35">
      <c r="A230" s="30" t="s">
        <v>613</v>
      </c>
      <c r="B230" s="31">
        <v>46376</v>
      </c>
      <c r="C230" s="30" t="s">
        <v>60</v>
      </c>
      <c r="D230" s="30">
        <v>12</v>
      </c>
      <c r="E230" s="32" t="s">
        <v>159</v>
      </c>
      <c r="F230" s="32" t="s">
        <v>77</v>
      </c>
      <c r="G230" s="30" t="s">
        <v>113</v>
      </c>
      <c r="H230" s="32" t="s">
        <v>53</v>
      </c>
      <c r="I230" s="32" t="s">
        <v>156</v>
      </c>
      <c r="J230" s="30" t="s">
        <v>94</v>
      </c>
      <c r="K230" s="33">
        <v>6.8</v>
      </c>
      <c r="L230" s="34">
        <v>7046</v>
      </c>
      <c r="M230" s="35">
        <v>75914</v>
      </c>
      <c r="N230" s="30" t="s">
        <v>122</v>
      </c>
      <c r="O230" s="36" t="s">
        <v>116</v>
      </c>
      <c r="P230" s="30" t="s">
        <v>614</v>
      </c>
      <c r="Q230" s="30" t="s">
        <v>125</v>
      </c>
    </row>
    <row r="231" spans="1:17" ht="15" customHeight="1" x14ac:dyDescent="0.35">
      <c r="A231" s="37" t="s">
        <v>615</v>
      </c>
      <c r="B231" s="38">
        <v>46376</v>
      </c>
      <c r="C231" s="37" t="s">
        <v>60</v>
      </c>
      <c r="D231" s="37">
        <v>12</v>
      </c>
      <c r="E231" s="39" t="s">
        <v>145</v>
      </c>
      <c r="F231" s="39" t="s">
        <v>84</v>
      </c>
      <c r="G231" s="37" t="s">
        <v>113</v>
      </c>
      <c r="H231" s="39" t="s">
        <v>39</v>
      </c>
      <c r="I231" s="39" t="s">
        <v>174</v>
      </c>
      <c r="J231" s="37" t="s">
        <v>93</v>
      </c>
      <c r="K231" s="40">
        <v>21.6</v>
      </c>
      <c r="L231" s="41">
        <v>23672</v>
      </c>
      <c r="M231" s="42">
        <v>164094</v>
      </c>
      <c r="N231" s="37" t="s">
        <v>122</v>
      </c>
      <c r="O231" s="43" t="s">
        <v>123</v>
      </c>
      <c r="P231" s="37" t="s">
        <v>616</v>
      </c>
      <c r="Q231" s="37" t="s">
        <v>139</v>
      </c>
    </row>
    <row r="232" spans="1:17" ht="15" customHeight="1" x14ac:dyDescent="0.35">
      <c r="A232" s="30" t="s">
        <v>617</v>
      </c>
      <c r="B232" s="31">
        <v>46376</v>
      </c>
      <c r="C232" s="30" t="s">
        <v>60</v>
      </c>
      <c r="D232" s="30">
        <v>12</v>
      </c>
      <c r="E232" s="32" t="s">
        <v>112</v>
      </c>
      <c r="F232" s="32" t="s">
        <v>77</v>
      </c>
      <c r="G232" s="30" t="s">
        <v>113</v>
      </c>
      <c r="H232" s="32" t="s">
        <v>42</v>
      </c>
      <c r="I232" s="32" t="s">
        <v>114</v>
      </c>
      <c r="J232" s="30" t="s">
        <v>93</v>
      </c>
      <c r="K232" s="33">
        <v>4.7</v>
      </c>
      <c r="L232" s="34">
        <v>3890</v>
      </c>
      <c r="M232" s="35">
        <v>40083</v>
      </c>
      <c r="N232" s="30" t="s">
        <v>115</v>
      </c>
      <c r="O232" s="44" t="s">
        <v>128</v>
      </c>
      <c r="P232" s="30" t="s">
        <v>618</v>
      </c>
      <c r="Q232" s="30" t="s">
        <v>125</v>
      </c>
    </row>
    <row r="233" spans="1:17" ht="15" customHeight="1" x14ac:dyDescent="0.35">
      <c r="A233" s="37" t="s">
        <v>619</v>
      </c>
      <c r="B233" s="38">
        <v>46376</v>
      </c>
      <c r="C233" s="37" t="s">
        <v>60</v>
      </c>
      <c r="D233" s="37">
        <v>12</v>
      </c>
      <c r="E233" s="39" t="s">
        <v>248</v>
      </c>
      <c r="F233" s="39" t="s">
        <v>79</v>
      </c>
      <c r="G233" s="37" t="s">
        <v>173</v>
      </c>
      <c r="H233" s="39" t="s">
        <v>49</v>
      </c>
      <c r="I233" s="39" t="s">
        <v>194</v>
      </c>
      <c r="J233" s="37" t="s">
        <v>92</v>
      </c>
      <c r="K233" s="40">
        <v>4.4000000000000004</v>
      </c>
      <c r="L233" s="41">
        <v>2763</v>
      </c>
      <c r="M233" s="42">
        <v>44035</v>
      </c>
      <c r="N233" s="37" t="s">
        <v>122</v>
      </c>
      <c r="O233" s="45" t="s">
        <v>128</v>
      </c>
      <c r="P233" s="37" t="s">
        <v>620</v>
      </c>
      <c r="Q233" s="37" t="s">
        <v>139</v>
      </c>
    </row>
    <row r="234" spans="1:17" ht="15" customHeight="1" x14ac:dyDescent="0.35">
      <c r="A234" s="30" t="s">
        <v>621</v>
      </c>
      <c r="B234" s="31">
        <v>46377</v>
      </c>
      <c r="C234" s="30" t="s">
        <v>60</v>
      </c>
      <c r="D234" s="30">
        <v>12</v>
      </c>
      <c r="E234" s="32" t="s">
        <v>223</v>
      </c>
      <c r="F234" s="32" t="s">
        <v>81</v>
      </c>
      <c r="G234" s="30" t="s">
        <v>208</v>
      </c>
      <c r="H234" s="32" t="s">
        <v>44</v>
      </c>
      <c r="I234" s="32" t="s">
        <v>194</v>
      </c>
      <c r="J234" s="30" t="s">
        <v>92</v>
      </c>
      <c r="K234" s="33">
        <v>1.7</v>
      </c>
      <c r="L234" s="34">
        <v>1640</v>
      </c>
      <c r="M234" s="35">
        <v>13236</v>
      </c>
      <c r="N234" s="30" t="s">
        <v>122</v>
      </c>
      <c r="O234" s="47" t="s">
        <v>142</v>
      </c>
      <c r="P234" s="30" t="s">
        <v>622</v>
      </c>
      <c r="Q234" s="30" t="s">
        <v>130</v>
      </c>
    </row>
    <row r="235" spans="1:17" ht="15" customHeight="1" x14ac:dyDescent="0.35">
      <c r="A235" s="37" t="s">
        <v>623</v>
      </c>
      <c r="B235" s="38">
        <v>46379</v>
      </c>
      <c r="C235" s="37" t="s">
        <v>60</v>
      </c>
      <c r="D235" s="37">
        <v>12</v>
      </c>
      <c r="E235" s="39" t="s">
        <v>159</v>
      </c>
      <c r="F235" s="39" t="s">
        <v>77</v>
      </c>
      <c r="G235" s="37" t="s">
        <v>113</v>
      </c>
      <c r="H235" s="39" t="s">
        <v>62</v>
      </c>
      <c r="I235" s="39" t="s">
        <v>174</v>
      </c>
      <c r="J235" s="37" t="s">
        <v>94</v>
      </c>
      <c r="K235" s="40">
        <v>1.9</v>
      </c>
      <c r="L235" s="41">
        <v>1906</v>
      </c>
      <c r="M235" s="42">
        <v>21528</v>
      </c>
      <c r="N235" s="37" t="s">
        <v>122</v>
      </c>
      <c r="O235" s="49" t="s">
        <v>142</v>
      </c>
      <c r="P235" s="37" t="s">
        <v>624</v>
      </c>
      <c r="Q235" s="37" t="s">
        <v>118</v>
      </c>
    </row>
    <row r="236" spans="1:17" ht="15" customHeight="1" x14ac:dyDescent="0.35">
      <c r="A236" s="30" t="s">
        <v>625</v>
      </c>
      <c r="B236" s="31">
        <v>46379</v>
      </c>
      <c r="C236" s="30" t="s">
        <v>60</v>
      </c>
      <c r="D236" s="30">
        <v>12</v>
      </c>
      <c r="E236" s="32" t="s">
        <v>302</v>
      </c>
      <c r="F236" s="32" t="s">
        <v>78</v>
      </c>
      <c r="G236" s="30" t="s">
        <v>113</v>
      </c>
      <c r="H236" s="32" t="s">
        <v>57</v>
      </c>
      <c r="I236" s="32" t="s">
        <v>160</v>
      </c>
      <c r="J236" s="30" t="s">
        <v>93</v>
      </c>
      <c r="K236" s="33">
        <v>15.1</v>
      </c>
      <c r="L236" s="34">
        <v>13250</v>
      </c>
      <c r="M236" s="35">
        <v>163211</v>
      </c>
      <c r="N236" s="30" t="s">
        <v>122</v>
      </c>
      <c r="O236" s="36" t="s">
        <v>116</v>
      </c>
      <c r="P236" s="30" t="s">
        <v>626</v>
      </c>
      <c r="Q236" s="30" t="s">
        <v>139</v>
      </c>
    </row>
    <row r="237" spans="1:17" ht="15" customHeight="1" x14ac:dyDescent="0.35">
      <c r="A237" s="37" t="s">
        <v>627</v>
      </c>
      <c r="B237" s="38">
        <v>46379</v>
      </c>
      <c r="C237" s="37" t="s">
        <v>60</v>
      </c>
      <c r="D237" s="37">
        <v>12</v>
      </c>
      <c r="E237" s="39" t="s">
        <v>112</v>
      </c>
      <c r="F237" s="39" t="s">
        <v>77</v>
      </c>
      <c r="G237" s="37" t="s">
        <v>113</v>
      </c>
      <c r="H237" s="39" t="s">
        <v>33</v>
      </c>
      <c r="I237" s="39" t="s">
        <v>146</v>
      </c>
      <c r="J237" s="37" t="s">
        <v>93</v>
      </c>
      <c r="K237" s="40">
        <v>4.3</v>
      </c>
      <c r="L237" s="41">
        <v>4088</v>
      </c>
      <c r="M237" s="42">
        <v>48167</v>
      </c>
      <c r="N237" s="37" t="s">
        <v>122</v>
      </c>
      <c r="O237" s="45" t="s">
        <v>128</v>
      </c>
      <c r="P237" s="37" t="s">
        <v>628</v>
      </c>
      <c r="Q237" s="37" t="s">
        <v>118</v>
      </c>
    </row>
    <row r="238" spans="1:17" ht="15" customHeight="1" x14ac:dyDescent="0.35">
      <c r="A238" s="30" t="s">
        <v>629</v>
      </c>
      <c r="B238" s="31">
        <v>46381</v>
      </c>
      <c r="C238" s="30" t="s">
        <v>60</v>
      </c>
      <c r="D238" s="30">
        <v>12</v>
      </c>
      <c r="E238" s="32" t="s">
        <v>163</v>
      </c>
      <c r="F238" s="32" t="s">
        <v>75</v>
      </c>
      <c r="G238" s="30" t="s">
        <v>113</v>
      </c>
      <c r="H238" s="32" t="s">
        <v>49</v>
      </c>
      <c r="I238" s="32" t="s">
        <v>132</v>
      </c>
      <c r="J238" s="30" t="s">
        <v>92</v>
      </c>
      <c r="K238" s="33">
        <v>2.1</v>
      </c>
      <c r="L238" s="34">
        <v>1641</v>
      </c>
      <c r="M238" s="35">
        <v>19082</v>
      </c>
      <c r="N238" s="30" t="s">
        <v>122</v>
      </c>
      <c r="O238" s="44" t="s">
        <v>128</v>
      </c>
      <c r="P238" s="30" t="s">
        <v>630</v>
      </c>
      <c r="Q238" s="30" t="s">
        <v>118</v>
      </c>
    </row>
    <row r="239" spans="1:17" ht="15" customHeight="1" x14ac:dyDescent="0.35">
      <c r="A239" s="37" t="s">
        <v>631</v>
      </c>
      <c r="B239" s="38">
        <v>46382</v>
      </c>
      <c r="C239" s="37" t="s">
        <v>60</v>
      </c>
      <c r="D239" s="37">
        <v>12</v>
      </c>
      <c r="E239" s="39" t="s">
        <v>187</v>
      </c>
      <c r="F239" s="39" t="s">
        <v>80</v>
      </c>
      <c r="G239" s="37" t="s">
        <v>113</v>
      </c>
      <c r="H239" s="39" t="s">
        <v>44</v>
      </c>
      <c r="I239" s="39" t="s">
        <v>166</v>
      </c>
      <c r="J239" s="37" t="s">
        <v>94</v>
      </c>
      <c r="K239" s="40">
        <v>0.7</v>
      </c>
      <c r="L239" s="41">
        <v>796</v>
      </c>
      <c r="M239" s="42">
        <v>5298</v>
      </c>
      <c r="N239" s="37" t="s">
        <v>122</v>
      </c>
      <c r="O239" s="49" t="s">
        <v>142</v>
      </c>
      <c r="P239" s="37" t="s">
        <v>632</v>
      </c>
      <c r="Q239" s="37" t="s">
        <v>139</v>
      </c>
    </row>
    <row r="240" spans="1:17" ht="15" customHeight="1" x14ac:dyDescent="0.35">
      <c r="A240" s="30" t="s">
        <v>633</v>
      </c>
      <c r="B240" s="31">
        <v>46383</v>
      </c>
      <c r="C240" s="30" t="s">
        <v>60</v>
      </c>
      <c r="D240" s="30">
        <v>12</v>
      </c>
      <c r="E240" s="32" t="s">
        <v>223</v>
      </c>
      <c r="F240" s="32" t="s">
        <v>81</v>
      </c>
      <c r="G240" s="30" t="s">
        <v>208</v>
      </c>
      <c r="H240" s="32" t="s">
        <v>44</v>
      </c>
      <c r="I240" s="32" t="s">
        <v>146</v>
      </c>
      <c r="J240" s="30" t="s">
        <v>92</v>
      </c>
      <c r="K240" s="33">
        <v>82.3</v>
      </c>
      <c r="L240" s="34">
        <v>67935</v>
      </c>
      <c r="M240" s="35">
        <v>805496</v>
      </c>
      <c r="N240" s="30" t="s">
        <v>115</v>
      </c>
      <c r="O240" s="48" t="s">
        <v>123</v>
      </c>
      <c r="P240" s="30" t="s">
        <v>634</v>
      </c>
      <c r="Q240" s="30" t="s">
        <v>139</v>
      </c>
    </row>
    <row r="241" spans="1:17" ht="15" customHeight="1" x14ac:dyDescent="0.35">
      <c r="A241" s="37" t="s">
        <v>635</v>
      </c>
      <c r="B241" s="38">
        <v>46383</v>
      </c>
      <c r="C241" s="37" t="s">
        <v>60</v>
      </c>
      <c r="D241" s="37">
        <v>12</v>
      </c>
      <c r="E241" s="39" t="s">
        <v>204</v>
      </c>
      <c r="F241" s="39" t="s">
        <v>79</v>
      </c>
      <c r="G241" s="37" t="s">
        <v>173</v>
      </c>
      <c r="H241" s="39" t="s">
        <v>44</v>
      </c>
      <c r="I241" s="39" t="s">
        <v>146</v>
      </c>
      <c r="J241" s="37" t="s">
        <v>94</v>
      </c>
      <c r="K241" s="40">
        <v>1.5</v>
      </c>
      <c r="L241" s="41">
        <v>1709</v>
      </c>
      <c r="M241" s="42">
        <v>12790</v>
      </c>
      <c r="N241" s="37" t="s">
        <v>122</v>
      </c>
      <c r="O241" s="49" t="s">
        <v>142</v>
      </c>
      <c r="P241" s="37" t="s">
        <v>636</v>
      </c>
      <c r="Q241" s="37" t="s">
        <v>130</v>
      </c>
    </row>
    <row r="242" spans="1:17" ht="15" customHeight="1" x14ac:dyDescent="0.35">
      <c r="A242" s="30" t="s">
        <v>637</v>
      </c>
      <c r="B242" s="31">
        <v>46385</v>
      </c>
      <c r="C242" s="30" t="s">
        <v>60</v>
      </c>
      <c r="D242" s="30">
        <v>12</v>
      </c>
      <c r="E242" s="32" t="s">
        <v>159</v>
      </c>
      <c r="F242" s="32" t="s">
        <v>77</v>
      </c>
      <c r="G242" s="30" t="s">
        <v>113</v>
      </c>
      <c r="H242" s="32" t="s">
        <v>42</v>
      </c>
      <c r="I242" s="32" t="s">
        <v>201</v>
      </c>
      <c r="J242" s="30" t="s">
        <v>94</v>
      </c>
      <c r="K242" s="33">
        <v>3</v>
      </c>
      <c r="L242" s="34">
        <v>2924</v>
      </c>
      <c r="M242" s="35">
        <v>34774</v>
      </c>
      <c r="N242" s="30" t="s">
        <v>122</v>
      </c>
      <c r="O242" s="44" t="s">
        <v>128</v>
      </c>
      <c r="P242" s="30" t="s">
        <v>638</v>
      </c>
      <c r="Q242" s="30" t="s">
        <v>139</v>
      </c>
    </row>
    <row r="243" spans="1:17" ht="15" customHeight="1" x14ac:dyDescent="0.35">
      <c r="A243" s="37" t="s">
        <v>639</v>
      </c>
      <c r="B243" s="38">
        <v>46385</v>
      </c>
      <c r="C243" s="37" t="s">
        <v>60</v>
      </c>
      <c r="D243" s="37">
        <v>12</v>
      </c>
      <c r="E243" s="39" t="s">
        <v>155</v>
      </c>
      <c r="F243" s="39" t="s">
        <v>75</v>
      </c>
      <c r="G243" s="37" t="s">
        <v>113</v>
      </c>
      <c r="H243" s="39" t="s">
        <v>39</v>
      </c>
      <c r="I243" s="39" t="s">
        <v>114</v>
      </c>
      <c r="J243" s="37" t="s">
        <v>93</v>
      </c>
      <c r="K243" s="40">
        <v>1</v>
      </c>
      <c r="L243" s="41">
        <v>878</v>
      </c>
      <c r="M243" s="42">
        <v>10438</v>
      </c>
      <c r="N243" s="37" t="s">
        <v>122</v>
      </c>
      <c r="O243" s="49" t="s">
        <v>142</v>
      </c>
      <c r="P243" s="37" t="s">
        <v>640</v>
      </c>
      <c r="Q243" s="37" t="s">
        <v>118</v>
      </c>
    </row>
  </sheetData>
  <mergeCells count="2">
    <mergeCell ref="A1:Q1"/>
    <mergeCell ref="A2:Q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48F77"/>
  </sheetPr>
  <dimension ref="A1:K58"/>
  <sheetViews>
    <sheetView zoomScaleNormal="100" workbookViewId="0">
      <pane ySplit="1" topLeftCell="A44" activePane="bottomLeft" state="frozen"/>
      <selection pane="bottomLeft" activeCell="D9" sqref="D9"/>
    </sheetView>
  </sheetViews>
  <sheetFormatPr defaultColWidth="8.54296875" defaultRowHeight="14.5" x14ac:dyDescent="0.35"/>
  <cols>
    <col min="1" max="1" width="28" customWidth="1"/>
    <col min="2" max="2" width="22" customWidth="1"/>
    <col min="3" max="3" width="10" customWidth="1"/>
    <col min="4" max="4" width="13" customWidth="1"/>
    <col min="5" max="5" width="16" customWidth="1"/>
    <col min="6" max="8" width="13" customWidth="1"/>
    <col min="11" max="11" width="12.453125" bestFit="1" customWidth="1"/>
  </cols>
  <sheetData>
    <row r="1" spans="1:8" ht="25.5" customHeight="1" x14ac:dyDescent="0.35">
      <c r="A1" s="159" t="s">
        <v>641</v>
      </c>
      <c r="B1" s="159"/>
      <c r="C1" s="159"/>
      <c r="D1" s="159"/>
      <c r="E1" s="159"/>
      <c r="F1" s="159"/>
      <c r="G1" s="159"/>
      <c r="H1" s="159"/>
    </row>
    <row r="3" spans="1:8" ht="15" customHeight="1" x14ac:dyDescent="0.35">
      <c r="A3" s="161" t="s">
        <v>642</v>
      </c>
      <c r="B3" s="161"/>
      <c r="C3" s="161"/>
      <c r="D3" s="161"/>
      <c r="E3" s="161"/>
      <c r="F3" s="161"/>
      <c r="G3" s="161"/>
    </row>
    <row r="4" spans="1:8" ht="27.75" customHeight="1" x14ac:dyDescent="0.35">
      <c r="A4" s="29" t="s">
        <v>67</v>
      </c>
      <c r="B4" s="29" t="s">
        <v>643</v>
      </c>
      <c r="C4" s="29" t="s">
        <v>644</v>
      </c>
      <c r="D4" s="29" t="s">
        <v>645</v>
      </c>
      <c r="E4" s="29" t="s">
        <v>646</v>
      </c>
      <c r="F4" s="29" t="s">
        <v>647</v>
      </c>
      <c r="G4" s="29" t="s">
        <v>648</v>
      </c>
    </row>
    <row r="5" spans="1:8" ht="15" customHeight="1" x14ac:dyDescent="0.35">
      <c r="A5" s="25" t="s">
        <v>75</v>
      </c>
      <c r="B5" s="26">
        <v>78</v>
      </c>
      <c r="C5" s="26">
        <v>681.5</v>
      </c>
      <c r="D5" s="50">
        <v>6632176</v>
      </c>
      <c r="E5" s="51">
        <f t="shared" ref="E5:E12" si="0">C5/B5</f>
        <v>8.7371794871794872</v>
      </c>
      <c r="F5" s="27">
        <f t="shared" ref="F5:F12" si="1">C5/$C$13</f>
        <v>0.33949387267111691</v>
      </c>
      <c r="G5" s="27">
        <f t="shared" ref="G5:G12" si="2">D5/$D$13</f>
        <v>0.33836702143752273</v>
      </c>
    </row>
    <row r="6" spans="1:8" ht="15" customHeight="1" x14ac:dyDescent="0.35">
      <c r="A6" s="21" t="s">
        <v>77</v>
      </c>
      <c r="B6" s="22">
        <v>35</v>
      </c>
      <c r="C6" s="22">
        <v>367.6</v>
      </c>
      <c r="D6" s="52">
        <v>3530599</v>
      </c>
      <c r="E6" s="53">
        <f t="shared" si="0"/>
        <v>10.502857142857144</v>
      </c>
      <c r="F6" s="23">
        <f t="shared" si="1"/>
        <v>0.18312244694629873</v>
      </c>
      <c r="G6" s="23">
        <f t="shared" si="2"/>
        <v>0.18012764853048174</v>
      </c>
    </row>
    <row r="7" spans="1:8" ht="15" customHeight="1" x14ac:dyDescent="0.35">
      <c r="A7" s="25" t="s">
        <v>78</v>
      </c>
      <c r="B7" s="26">
        <v>32</v>
      </c>
      <c r="C7" s="26">
        <v>305.39999999999998</v>
      </c>
      <c r="D7" s="50">
        <v>3151519</v>
      </c>
      <c r="E7" s="51">
        <f t="shared" si="0"/>
        <v>9.5437499999999993</v>
      </c>
      <c r="F7" s="27">
        <f t="shared" si="1"/>
        <v>0.15213709275679985</v>
      </c>
      <c r="G7" s="27">
        <f t="shared" si="2"/>
        <v>0.16078736406177402</v>
      </c>
    </row>
    <row r="8" spans="1:8" ht="15" customHeight="1" x14ac:dyDescent="0.35">
      <c r="A8" s="21" t="s">
        <v>79</v>
      </c>
      <c r="B8" s="22">
        <v>29</v>
      </c>
      <c r="C8" s="22">
        <v>203</v>
      </c>
      <c r="D8" s="52">
        <v>1994184</v>
      </c>
      <c r="E8" s="53">
        <f t="shared" si="0"/>
        <v>7</v>
      </c>
      <c r="F8" s="23">
        <f t="shared" si="1"/>
        <v>0.10112583441267312</v>
      </c>
      <c r="G8" s="23">
        <f t="shared" si="2"/>
        <v>0.10174128374735</v>
      </c>
    </row>
    <row r="9" spans="1:8" ht="15" customHeight="1" x14ac:dyDescent="0.35">
      <c r="A9" s="25" t="s">
        <v>80</v>
      </c>
      <c r="B9" s="26">
        <v>36</v>
      </c>
      <c r="C9" s="26">
        <v>185.1</v>
      </c>
      <c r="D9" s="50">
        <v>1777810</v>
      </c>
      <c r="E9" s="51">
        <f t="shared" si="0"/>
        <v>5.1416666666666666</v>
      </c>
      <c r="F9" s="27">
        <f t="shared" si="1"/>
        <v>9.2208827338846278E-2</v>
      </c>
      <c r="G9" s="27">
        <f t="shared" si="2"/>
        <v>9.0702097529052644E-2</v>
      </c>
    </row>
    <row r="10" spans="1:8" ht="15" customHeight="1" x14ac:dyDescent="0.35">
      <c r="A10" s="21" t="s">
        <v>81</v>
      </c>
      <c r="B10" s="22">
        <v>14</v>
      </c>
      <c r="C10" s="22">
        <v>134.4</v>
      </c>
      <c r="D10" s="52">
        <v>1295187</v>
      </c>
      <c r="E10" s="53">
        <f t="shared" si="0"/>
        <v>9.6</v>
      </c>
      <c r="F10" s="23">
        <f t="shared" si="1"/>
        <v>6.6952276576666345E-2</v>
      </c>
      <c r="G10" s="23">
        <f t="shared" si="2"/>
        <v>6.6079152211069303E-2</v>
      </c>
    </row>
    <row r="11" spans="1:8" ht="15" customHeight="1" x14ac:dyDescent="0.35">
      <c r="A11" s="25" t="s">
        <v>83</v>
      </c>
      <c r="B11" s="26">
        <v>6</v>
      </c>
      <c r="C11" s="26">
        <v>74.3</v>
      </c>
      <c r="D11" s="50">
        <v>725748</v>
      </c>
      <c r="E11" s="51">
        <f t="shared" si="0"/>
        <v>12.383333333333333</v>
      </c>
      <c r="F11" s="27">
        <f t="shared" si="1"/>
        <v>3.7013051708677892E-2</v>
      </c>
      <c r="G11" s="27">
        <f t="shared" si="2"/>
        <v>3.7026940942797543E-2</v>
      </c>
    </row>
    <row r="12" spans="1:8" ht="15" customHeight="1" x14ac:dyDescent="0.35">
      <c r="A12" s="21" t="s">
        <v>84</v>
      </c>
      <c r="B12" s="22">
        <v>10</v>
      </c>
      <c r="C12" s="22">
        <v>56.1</v>
      </c>
      <c r="D12" s="52">
        <v>493316</v>
      </c>
      <c r="E12" s="53">
        <f t="shared" si="0"/>
        <v>5.61</v>
      </c>
      <c r="F12" s="23">
        <f t="shared" si="1"/>
        <v>2.7946597588920995E-2</v>
      </c>
      <c r="G12" s="23">
        <f t="shared" si="2"/>
        <v>2.5168491539952039E-2</v>
      </c>
    </row>
    <row r="13" spans="1:8" ht="15" customHeight="1" x14ac:dyDescent="0.35">
      <c r="A13" s="54" t="s">
        <v>649</v>
      </c>
      <c r="B13" s="54">
        <f>SUM(B5:B12)</f>
        <v>240</v>
      </c>
      <c r="C13" s="54">
        <f>SUM(C5:C12)</f>
        <v>2007.3999999999999</v>
      </c>
      <c r="D13" s="55">
        <f>SUM(D5:D12)</f>
        <v>19600539</v>
      </c>
      <c r="E13" s="54"/>
      <c r="F13" s="54"/>
      <c r="G13" s="54"/>
    </row>
    <row r="16" spans="1:8" s="107" customFormat="1" ht="15" customHeight="1" x14ac:dyDescent="0.35">
      <c r="A16" s="162" t="s">
        <v>650</v>
      </c>
      <c r="B16" s="161"/>
      <c r="C16" s="161"/>
      <c r="D16" s="161"/>
      <c r="E16" s="161"/>
      <c r="F16" s="161"/>
      <c r="G16" s="161"/>
      <c r="H16" s="161"/>
    </row>
    <row r="17" spans="1:11" ht="23.25" customHeight="1" x14ac:dyDescent="0.35">
      <c r="A17" s="29" t="s">
        <v>100</v>
      </c>
      <c r="B17" s="29" t="s">
        <v>67</v>
      </c>
      <c r="C17" s="29" t="s">
        <v>643</v>
      </c>
      <c r="D17" s="29" t="s">
        <v>644</v>
      </c>
      <c r="E17" s="29" t="s">
        <v>645</v>
      </c>
      <c r="F17" s="29" t="s">
        <v>646</v>
      </c>
      <c r="G17" s="29" t="s">
        <v>88</v>
      </c>
      <c r="H17" s="106" t="s">
        <v>651</v>
      </c>
    </row>
    <row r="18" spans="1:11" ht="15" customHeight="1" x14ac:dyDescent="0.35">
      <c r="A18" s="21" t="s">
        <v>135</v>
      </c>
      <c r="B18" s="21" t="s">
        <v>75</v>
      </c>
      <c r="C18" s="22">
        <v>22</v>
      </c>
      <c r="D18" s="22">
        <v>216.3</v>
      </c>
      <c r="E18" s="52">
        <v>2050220</v>
      </c>
      <c r="F18" s="22">
        <v>9.8000000000000007</v>
      </c>
      <c r="G18" s="22">
        <v>16.600000000000001</v>
      </c>
      <c r="H18" s="23">
        <v>0.10780000000000001</v>
      </c>
      <c r="K18" s="108"/>
    </row>
    <row r="19" spans="1:11" ht="15" customHeight="1" x14ac:dyDescent="0.35">
      <c r="A19" s="25" t="s">
        <v>120</v>
      </c>
      <c r="B19" s="25" t="s">
        <v>77</v>
      </c>
      <c r="C19" s="26">
        <v>10</v>
      </c>
      <c r="D19" s="26">
        <v>177</v>
      </c>
      <c r="E19" s="50">
        <v>1736742</v>
      </c>
      <c r="F19" s="26">
        <v>17.7</v>
      </c>
      <c r="G19" s="26">
        <v>36.5</v>
      </c>
      <c r="H19" s="27">
        <v>0.19589999999999999</v>
      </c>
    </row>
    <row r="20" spans="1:11" ht="15" customHeight="1" x14ac:dyDescent="0.35">
      <c r="A20" s="21" t="s">
        <v>155</v>
      </c>
      <c r="B20" s="21" t="s">
        <v>75</v>
      </c>
      <c r="C20" s="22">
        <v>19</v>
      </c>
      <c r="D20" s="22">
        <v>167.6</v>
      </c>
      <c r="E20" s="52">
        <v>1732529</v>
      </c>
      <c r="F20" s="22">
        <v>8.8000000000000007</v>
      </c>
      <c r="G20" s="22">
        <v>19.2</v>
      </c>
      <c r="H20" s="23">
        <v>0.27939999999999998</v>
      </c>
    </row>
    <row r="21" spans="1:11" ht="15" customHeight="1" x14ac:dyDescent="0.35">
      <c r="A21" s="25" t="s">
        <v>149</v>
      </c>
      <c r="B21" s="25" t="s">
        <v>75</v>
      </c>
      <c r="C21" s="26">
        <v>17</v>
      </c>
      <c r="D21" s="26">
        <v>166.5</v>
      </c>
      <c r="E21" s="50">
        <v>1575793</v>
      </c>
      <c r="F21" s="26">
        <v>9.8000000000000007</v>
      </c>
      <c r="G21" s="26">
        <v>21.5</v>
      </c>
      <c r="H21" s="27">
        <v>0.3624</v>
      </c>
    </row>
    <row r="22" spans="1:11" ht="15" customHeight="1" x14ac:dyDescent="0.35">
      <c r="A22" s="21" t="s">
        <v>302</v>
      </c>
      <c r="B22" s="21" t="s">
        <v>78</v>
      </c>
      <c r="C22" s="22">
        <v>10</v>
      </c>
      <c r="D22" s="22">
        <v>132.4</v>
      </c>
      <c r="E22" s="52">
        <v>1447677</v>
      </c>
      <c r="F22" s="22">
        <v>13.2</v>
      </c>
      <c r="G22" s="22">
        <v>36.5</v>
      </c>
      <c r="H22" s="23">
        <v>0.42830000000000001</v>
      </c>
    </row>
    <row r="23" spans="1:11" ht="15" customHeight="1" x14ac:dyDescent="0.35">
      <c r="A23" s="25" t="s">
        <v>163</v>
      </c>
      <c r="B23" s="25" t="s">
        <v>75</v>
      </c>
      <c r="C23" s="26">
        <v>20</v>
      </c>
      <c r="D23" s="26">
        <v>131.1</v>
      </c>
      <c r="E23" s="50">
        <v>1273634</v>
      </c>
      <c r="F23" s="26">
        <v>6.6</v>
      </c>
      <c r="G23" s="26">
        <v>18.2</v>
      </c>
      <c r="H23" s="27">
        <v>0.49359999999999998</v>
      </c>
    </row>
    <row r="24" spans="1:11" ht="15" customHeight="1" x14ac:dyDescent="0.35">
      <c r="A24" s="21" t="s">
        <v>159</v>
      </c>
      <c r="B24" s="21" t="s">
        <v>77</v>
      </c>
      <c r="C24" s="22">
        <v>11</v>
      </c>
      <c r="D24" s="22">
        <v>110.8</v>
      </c>
      <c r="E24" s="52">
        <v>1103947</v>
      </c>
      <c r="F24" s="22">
        <v>10.1</v>
      </c>
      <c r="G24" s="22">
        <v>33.200000000000003</v>
      </c>
      <c r="H24" s="23">
        <v>0.54879999999999995</v>
      </c>
    </row>
    <row r="25" spans="1:11" ht="15" customHeight="1" x14ac:dyDescent="0.35">
      <c r="A25" s="25" t="s">
        <v>223</v>
      </c>
      <c r="B25" s="25" t="s">
        <v>81</v>
      </c>
      <c r="C25" s="26">
        <v>8</v>
      </c>
      <c r="D25" s="26">
        <v>110.8</v>
      </c>
      <c r="E25" s="50">
        <v>1073216</v>
      </c>
      <c r="F25" s="26">
        <v>13.8</v>
      </c>
      <c r="G25" s="26">
        <v>45.6</v>
      </c>
      <c r="H25" s="27">
        <v>0.60399999999999998</v>
      </c>
    </row>
    <row r="26" spans="1:11" ht="15" customHeight="1" x14ac:dyDescent="0.35">
      <c r="A26" s="21" t="s">
        <v>248</v>
      </c>
      <c r="B26" s="21" t="s">
        <v>79</v>
      </c>
      <c r="C26" s="22">
        <v>11</v>
      </c>
      <c r="D26" s="22">
        <v>106.7</v>
      </c>
      <c r="E26" s="52">
        <v>1089467</v>
      </c>
      <c r="F26" s="22">
        <v>9.6999999999999993</v>
      </c>
      <c r="G26" s="22">
        <v>33.200000000000003</v>
      </c>
      <c r="H26" s="23">
        <v>0.65720000000000001</v>
      </c>
    </row>
    <row r="27" spans="1:11" ht="15" customHeight="1" x14ac:dyDescent="0.35">
      <c r="A27" s="25" t="s">
        <v>187</v>
      </c>
      <c r="B27" s="25" t="s">
        <v>80</v>
      </c>
      <c r="C27" s="26">
        <v>18</v>
      </c>
      <c r="D27" s="26">
        <v>88.5</v>
      </c>
      <c r="E27" s="50">
        <v>812269</v>
      </c>
      <c r="F27" s="26">
        <v>4.9000000000000004</v>
      </c>
      <c r="G27" s="26">
        <v>20.3</v>
      </c>
      <c r="H27" s="27">
        <v>0.70130000000000003</v>
      </c>
    </row>
    <row r="28" spans="1:11" ht="15" customHeight="1" x14ac:dyDescent="0.35">
      <c r="A28" s="21" t="s">
        <v>112</v>
      </c>
      <c r="B28" s="21" t="s">
        <v>77</v>
      </c>
      <c r="C28" s="22">
        <v>14</v>
      </c>
      <c r="D28" s="22">
        <v>79.8</v>
      </c>
      <c r="E28" s="52">
        <v>689910</v>
      </c>
      <c r="F28" s="22">
        <v>5.7</v>
      </c>
      <c r="G28" s="22">
        <v>26.1</v>
      </c>
      <c r="H28" s="23">
        <v>0.74099999999999999</v>
      </c>
    </row>
    <row r="29" spans="1:11" ht="15" customHeight="1" x14ac:dyDescent="0.35">
      <c r="A29" s="25" t="s">
        <v>204</v>
      </c>
      <c r="B29" s="25" t="s">
        <v>79</v>
      </c>
      <c r="C29" s="26">
        <v>11</v>
      </c>
      <c r="D29" s="26">
        <v>75</v>
      </c>
      <c r="E29" s="50">
        <v>727507</v>
      </c>
      <c r="F29" s="26">
        <v>6.8</v>
      </c>
      <c r="G29" s="26">
        <v>33.200000000000003</v>
      </c>
      <c r="H29" s="27">
        <v>0.77839999999999998</v>
      </c>
    </row>
    <row r="30" spans="1:11" ht="15" customHeight="1" x14ac:dyDescent="0.35">
      <c r="A30" s="21" t="s">
        <v>152</v>
      </c>
      <c r="B30" s="21" t="s">
        <v>78</v>
      </c>
      <c r="C30" s="22">
        <v>6</v>
      </c>
      <c r="D30" s="22">
        <v>74.8</v>
      </c>
      <c r="E30" s="52">
        <v>792394</v>
      </c>
      <c r="F30" s="22">
        <v>12.5</v>
      </c>
      <c r="G30" s="22">
        <v>60.8</v>
      </c>
      <c r="H30" s="23">
        <v>0.81559999999999999</v>
      </c>
    </row>
    <row r="31" spans="1:11" ht="15" customHeight="1" x14ac:dyDescent="0.35">
      <c r="A31" s="25" t="s">
        <v>177</v>
      </c>
      <c r="B31" s="25" t="s">
        <v>80</v>
      </c>
      <c r="C31" s="26">
        <v>14</v>
      </c>
      <c r="D31" s="26">
        <v>55.4</v>
      </c>
      <c r="E31" s="50">
        <v>526007</v>
      </c>
      <c r="F31" s="26">
        <v>4</v>
      </c>
      <c r="G31" s="26">
        <v>26.1</v>
      </c>
      <c r="H31" s="27">
        <v>0.84319999999999995</v>
      </c>
    </row>
    <row r="32" spans="1:11" ht="15" customHeight="1" x14ac:dyDescent="0.35">
      <c r="A32" s="21" t="s">
        <v>228</v>
      </c>
      <c r="B32" s="21" t="s">
        <v>78</v>
      </c>
      <c r="C32" s="22">
        <v>5</v>
      </c>
      <c r="D32" s="22">
        <v>50.8</v>
      </c>
      <c r="E32" s="52">
        <v>472922</v>
      </c>
      <c r="F32" s="22">
        <v>10.199999999999999</v>
      </c>
      <c r="G32" s="22">
        <v>73</v>
      </c>
      <c r="H32" s="23">
        <v>0.86850000000000005</v>
      </c>
    </row>
    <row r="34" spans="1:6" ht="15" customHeight="1" x14ac:dyDescent="0.35">
      <c r="A34" s="161" t="s">
        <v>652</v>
      </c>
      <c r="B34" s="161"/>
      <c r="C34" s="161"/>
      <c r="D34" s="161"/>
      <c r="E34" s="161"/>
      <c r="F34" s="161"/>
    </row>
    <row r="35" spans="1:6" ht="23.25" customHeight="1" x14ac:dyDescent="0.35">
      <c r="A35" s="29" t="s">
        <v>24</v>
      </c>
      <c r="B35" s="29" t="s">
        <v>643</v>
      </c>
      <c r="C35" s="29" t="s">
        <v>644</v>
      </c>
      <c r="D35" s="29" t="s">
        <v>645</v>
      </c>
      <c r="E35" s="29" t="s">
        <v>653</v>
      </c>
      <c r="F35" s="29" t="s">
        <v>651</v>
      </c>
    </row>
    <row r="36" spans="1:6" ht="15" customHeight="1" x14ac:dyDescent="0.35">
      <c r="A36" s="21" t="s">
        <v>33</v>
      </c>
      <c r="B36" s="22">
        <v>31</v>
      </c>
      <c r="C36" s="22">
        <v>344.3</v>
      </c>
      <c r="D36" s="52">
        <v>3327992</v>
      </c>
      <c r="E36" s="23">
        <v>0.17150000000000001</v>
      </c>
      <c r="F36" s="23">
        <v>0.17150000000000001</v>
      </c>
    </row>
    <row r="37" spans="1:6" ht="15" customHeight="1" x14ac:dyDescent="0.35">
      <c r="A37" s="25" t="s">
        <v>37</v>
      </c>
      <c r="B37" s="26">
        <v>12</v>
      </c>
      <c r="C37" s="26">
        <v>306.10000000000002</v>
      </c>
      <c r="D37" s="50">
        <v>3176152</v>
      </c>
      <c r="E37" s="27">
        <v>0.1525</v>
      </c>
      <c r="F37" s="27">
        <v>0.32400000000000001</v>
      </c>
    </row>
    <row r="38" spans="1:6" ht="15" customHeight="1" x14ac:dyDescent="0.35">
      <c r="A38" s="21" t="s">
        <v>39</v>
      </c>
      <c r="B38" s="22">
        <v>23</v>
      </c>
      <c r="C38" s="22">
        <v>198.2</v>
      </c>
      <c r="D38" s="52">
        <v>1881024</v>
      </c>
      <c r="E38" s="23">
        <v>9.8699999999999996E-2</v>
      </c>
      <c r="F38" s="23">
        <v>0.42270000000000002</v>
      </c>
    </row>
    <row r="39" spans="1:6" ht="15" customHeight="1" x14ac:dyDescent="0.35">
      <c r="A39" s="25" t="s">
        <v>42</v>
      </c>
      <c r="B39" s="26">
        <v>20</v>
      </c>
      <c r="C39" s="26">
        <v>183.6</v>
      </c>
      <c r="D39" s="50">
        <v>1671491</v>
      </c>
      <c r="E39" s="27">
        <v>9.1499999999999998E-2</v>
      </c>
      <c r="F39" s="27">
        <v>0.51419999999999999</v>
      </c>
    </row>
    <row r="40" spans="1:6" ht="15" customHeight="1" x14ac:dyDescent="0.35">
      <c r="A40" s="21" t="s">
        <v>44</v>
      </c>
      <c r="B40" s="22">
        <v>20</v>
      </c>
      <c r="C40" s="22">
        <v>181.7</v>
      </c>
      <c r="D40" s="52">
        <v>1741752</v>
      </c>
      <c r="E40" s="23">
        <v>9.0499999999999997E-2</v>
      </c>
      <c r="F40" s="23">
        <v>0.60470000000000002</v>
      </c>
    </row>
    <row r="41" spans="1:6" ht="15" customHeight="1" x14ac:dyDescent="0.35">
      <c r="A41" s="25" t="s">
        <v>46</v>
      </c>
      <c r="B41" s="26">
        <v>17</v>
      </c>
      <c r="C41" s="26">
        <v>177.3</v>
      </c>
      <c r="D41" s="50">
        <v>1830383</v>
      </c>
      <c r="E41" s="27">
        <v>8.8300000000000003E-2</v>
      </c>
      <c r="F41" s="27">
        <v>0.69299999999999995</v>
      </c>
    </row>
    <row r="42" spans="1:6" ht="15" customHeight="1" x14ac:dyDescent="0.35">
      <c r="A42" s="21" t="s">
        <v>49</v>
      </c>
      <c r="B42" s="22">
        <v>20</v>
      </c>
      <c r="C42" s="22">
        <v>139.5</v>
      </c>
      <c r="D42" s="52">
        <v>1323842</v>
      </c>
      <c r="E42" s="23">
        <v>6.9500000000000006E-2</v>
      </c>
      <c r="F42" s="23">
        <v>0.76249999999999996</v>
      </c>
    </row>
    <row r="43" spans="1:6" ht="15" customHeight="1" x14ac:dyDescent="0.35">
      <c r="A43" s="25" t="s">
        <v>51</v>
      </c>
      <c r="B43" s="26">
        <v>17</v>
      </c>
      <c r="C43" s="26">
        <v>106.4</v>
      </c>
      <c r="D43" s="50">
        <v>1008779</v>
      </c>
      <c r="E43" s="27">
        <v>5.2999999999999999E-2</v>
      </c>
      <c r="F43" s="27">
        <v>0.8155</v>
      </c>
    </row>
    <row r="44" spans="1:6" ht="15" customHeight="1" x14ac:dyDescent="0.35">
      <c r="A44" s="21" t="s">
        <v>53</v>
      </c>
      <c r="B44" s="22">
        <v>22</v>
      </c>
      <c r="C44" s="22">
        <v>84.9</v>
      </c>
      <c r="D44" s="52">
        <v>843396</v>
      </c>
      <c r="E44" s="23">
        <v>4.2299999999999997E-2</v>
      </c>
      <c r="F44" s="23">
        <v>0.85780000000000001</v>
      </c>
    </row>
    <row r="45" spans="1:6" ht="15" customHeight="1" x14ac:dyDescent="0.35">
      <c r="A45" s="25" t="s">
        <v>55</v>
      </c>
      <c r="B45" s="26">
        <v>16</v>
      </c>
      <c r="C45" s="26">
        <v>77.400000000000006</v>
      </c>
      <c r="D45" s="50">
        <v>748132</v>
      </c>
      <c r="E45" s="27">
        <v>3.8600000000000002E-2</v>
      </c>
      <c r="F45" s="27">
        <v>0.89639999999999997</v>
      </c>
    </row>
    <row r="46" spans="1:6" ht="15" customHeight="1" x14ac:dyDescent="0.35">
      <c r="A46" s="21" t="s">
        <v>57</v>
      </c>
      <c r="B46" s="22">
        <v>12</v>
      </c>
      <c r="C46" s="22">
        <v>58.4</v>
      </c>
      <c r="D46" s="52">
        <v>598844</v>
      </c>
      <c r="E46" s="23">
        <v>2.9100000000000001E-2</v>
      </c>
      <c r="F46" s="23">
        <v>0.92549999999999999</v>
      </c>
    </row>
    <row r="47" spans="1:6" ht="15" customHeight="1" x14ac:dyDescent="0.35">
      <c r="A47" s="25" t="s">
        <v>59</v>
      </c>
      <c r="B47" s="26">
        <v>5</v>
      </c>
      <c r="C47" s="26">
        <v>52.4</v>
      </c>
      <c r="D47" s="50">
        <v>515104</v>
      </c>
      <c r="E47" s="27">
        <v>2.6100000000000002E-2</v>
      </c>
      <c r="F47" s="27">
        <v>0.9516</v>
      </c>
    </row>
    <row r="48" spans="1:6" ht="15" customHeight="1" x14ac:dyDescent="0.35">
      <c r="A48" s="21" t="s">
        <v>61</v>
      </c>
      <c r="B48" s="22">
        <v>6</v>
      </c>
      <c r="C48" s="22">
        <v>31.6</v>
      </c>
      <c r="D48" s="52">
        <v>324554</v>
      </c>
      <c r="E48" s="23">
        <v>1.5699999999999999E-2</v>
      </c>
      <c r="F48" s="23">
        <v>0.96730000000000005</v>
      </c>
    </row>
    <row r="49" spans="1:6" ht="15" customHeight="1" x14ac:dyDescent="0.35">
      <c r="A49" s="25" t="s">
        <v>62</v>
      </c>
      <c r="B49" s="26">
        <v>7</v>
      </c>
      <c r="C49" s="26">
        <v>28</v>
      </c>
      <c r="D49" s="50">
        <v>242911</v>
      </c>
      <c r="E49" s="27">
        <v>1.3899999999999999E-2</v>
      </c>
      <c r="F49" s="27">
        <v>0.98129999999999995</v>
      </c>
    </row>
    <row r="50" spans="1:6" ht="15" customHeight="1" x14ac:dyDescent="0.35">
      <c r="A50" s="21" t="s">
        <v>63</v>
      </c>
      <c r="B50" s="22">
        <v>7</v>
      </c>
      <c r="C50" s="22">
        <v>24.8</v>
      </c>
      <c r="D50" s="52">
        <v>228278</v>
      </c>
      <c r="E50" s="23">
        <v>1.24E-2</v>
      </c>
      <c r="F50" s="23">
        <v>0.99360000000000004</v>
      </c>
    </row>
    <row r="51" spans="1:6" ht="15" customHeight="1" x14ac:dyDescent="0.35">
      <c r="A51" s="25" t="s">
        <v>64</v>
      </c>
      <c r="B51" s="26">
        <v>5</v>
      </c>
      <c r="C51" s="26">
        <v>12.8</v>
      </c>
      <c r="D51" s="50">
        <v>137905</v>
      </c>
      <c r="E51" s="27">
        <v>6.4000000000000003E-3</v>
      </c>
      <c r="F51" s="27">
        <v>1</v>
      </c>
    </row>
    <row r="54" spans="1:6" ht="15" customHeight="1" x14ac:dyDescent="0.35">
      <c r="A54" s="163" t="s">
        <v>654</v>
      </c>
      <c r="B54" s="163"/>
      <c r="C54" s="163"/>
      <c r="D54" s="163"/>
      <c r="E54" s="163"/>
    </row>
    <row r="55" spans="1:6" ht="23.25" customHeight="1" x14ac:dyDescent="0.35">
      <c r="A55" s="29" t="s">
        <v>103</v>
      </c>
      <c r="B55" s="29" t="s">
        <v>643</v>
      </c>
      <c r="C55" s="29" t="s">
        <v>644</v>
      </c>
      <c r="D55" s="29" t="s">
        <v>645</v>
      </c>
      <c r="E55" s="29" t="s">
        <v>646</v>
      </c>
    </row>
    <row r="56" spans="1:6" ht="15" customHeight="1" x14ac:dyDescent="0.35">
      <c r="A56" s="25" t="s">
        <v>92</v>
      </c>
      <c r="B56" s="26">
        <v>77</v>
      </c>
      <c r="C56" s="26">
        <v>661</v>
      </c>
      <c r="D56" s="50">
        <v>6482240</v>
      </c>
      <c r="E56" s="26">
        <v>8.6</v>
      </c>
    </row>
    <row r="57" spans="1:6" ht="15" customHeight="1" x14ac:dyDescent="0.35">
      <c r="A57" s="25" t="s">
        <v>93</v>
      </c>
      <c r="B57" s="26">
        <v>73</v>
      </c>
      <c r="C57" s="26">
        <v>471.5</v>
      </c>
      <c r="D57" s="50">
        <v>4327341</v>
      </c>
      <c r="E57" s="26">
        <v>6.5</v>
      </c>
    </row>
    <row r="58" spans="1:6" ht="15" customHeight="1" x14ac:dyDescent="0.35">
      <c r="A58" s="25" t="s">
        <v>94</v>
      </c>
      <c r="B58" s="26">
        <v>90</v>
      </c>
      <c r="C58" s="26">
        <v>874.9</v>
      </c>
      <c r="D58" s="50">
        <v>8790958</v>
      </c>
      <c r="E58" s="26">
        <v>9.6999999999999993</v>
      </c>
    </row>
  </sheetData>
  <mergeCells count="5">
    <mergeCell ref="A1:H1"/>
    <mergeCell ref="A3:G3"/>
    <mergeCell ref="A16:H16"/>
    <mergeCell ref="A34:F34"/>
    <mergeCell ref="A54:E5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87722"/>
  </sheetPr>
  <dimension ref="A1:J41"/>
  <sheetViews>
    <sheetView zoomScale="60" zoomScaleNormal="60" workbookViewId="0">
      <pane ySplit="4" topLeftCell="A5" activePane="bottomLeft" state="frozen"/>
      <selection pane="bottomLeft" activeCell="J26" sqref="J26"/>
    </sheetView>
  </sheetViews>
  <sheetFormatPr defaultColWidth="8.54296875" defaultRowHeight="14.5" x14ac:dyDescent="0.35"/>
  <cols>
    <col min="1" max="1" width="7.453125" bestFit="1" customWidth="1"/>
    <col min="2" max="2" width="30" customWidth="1"/>
    <col min="3" max="3" width="22" customWidth="1"/>
    <col min="4" max="4" width="8.81640625" bestFit="1" customWidth="1"/>
    <col min="5" max="5" width="11.54296875" bestFit="1" customWidth="1"/>
    <col min="6" max="6" width="14" customWidth="1"/>
    <col min="7" max="7" width="9" customWidth="1"/>
    <col min="8" max="8" width="12" customWidth="1"/>
    <col min="9" max="9" width="11.81640625" bestFit="1" customWidth="1"/>
    <col min="10" max="10" width="55.1796875" bestFit="1" customWidth="1"/>
  </cols>
  <sheetData>
    <row r="1" spans="1:10" ht="25.5" customHeight="1" x14ac:dyDescent="0.35">
      <c r="A1" s="159" t="s">
        <v>655</v>
      </c>
      <c r="B1" s="159"/>
      <c r="C1" s="159"/>
      <c r="D1" s="159"/>
      <c r="E1" s="159"/>
      <c r="F1" s="159"/>
      <c r="G1" s="159"/>
      <c r="H1" s="159"/>
      <c r="I1" s="159"/>
      <c r="J1" s="159"/>
    </row>
    <row r="2" spans="1:10" ht="13.5" customHeight="1" x14ac:dyDescent="0.35">
      <c r="A2" s="160" t="s">
        <v>656</v>
      </c>
      <c r="B2" s="160"/>
      <c r="C2" s="160"/>
      <c r="D2" s="160"/>
      <c r="E2" s="160"/>
      <c r="F2" s="160"/>
      <c r="G2" s="160"/>
      <c r="H2" s="160"/>
      <c r="I2" s="160"/>
      <c r="J2" s="160"/>
    </row>
    <row r="4" spans="1:10" ht="15" customHeight="1" x14ac:dyDescent="0.35">
      <c r="A4" s="163" t="s">
        <v>657</v>
      </c>
      <c r="B4" s="163"/>
      <c r="C4" s="163"/>
      <c r="D4" s="163"/>
      <c r="E4" s="163"/>
      <c r="F4" s="163"/>
      <c r="G4" s="163"/>
      <c r="H4" s="163"/>
      <c r="I4" s="163"/>
      <c r="J4" s="163"/>
    </row>
    <row r="5" spans="1:10" ht="27.75" customHeight="1" x14ac:dyDescent="0.35">
      <c r="A5" s="29" t="s">
        <v>23</v>
      </c>
      <c r="B5" s="29" t="s">
        <v>24</v>
      </c>
      <c r="C5" s="29" t="s">
        <v>29</v>
      </c>
      <c r="D5" s="29" t="s">
        <v>658</v>
      </c>
      <c r="E5" s="29" t="s">
        <v>68</v>
      </c>
      <c r="F5" s="29" t="s">
        <v>659</v>
      </c>
      <c r="G5" s="29" t="s">
        <v>651</v>
      </c>
      <c r="H5" s="29" t="s">
        <v>660</v>
      </c>
      <c r="I5" s="29" t="s">
        <v>661</v>
      </c>
      <c r="J5" s="29" t="s">
        <v>662</v>
      </c>
    </row>
    <row r="6" spans="1:10" ht="23.25" customHeight="1" x14ac:dyDescent="0.35">
      <c r="A6" s="22">
        <v>1</v>
      </c>
      <c r="B6" s="56" t="s">
        <v>33</v>
      </c>
      <c r="C6" s="22">
        <v>31</v>
      </c>
      <c r="D6" s="57">
        <v>344.3</v>
      </c>
      <c r="E6" s="100">
        <v>3327992</v>
      </c>
      <c r="F6" s="23">
        <v>0.17150000000000001</v>
      </c>
      <c r="G6" s="23">
        <v>0.17150000000000001</v>
      </c>
      <c r="H6" s="23">
        <v>0.8</v>
      </c>
      <c r="I6" s="24" t="s">
        <v>663</v>
      </c>
      <c r="J6" s="56" t="s">
        <v>664</v>
      </c>
    </row>
    <row r="7" spans="1:10" ht="23.25" customHeight="1" x14ac:dyDescent="0.35">
      <c r="A7" s="26">
        <v>2</v>
      </c>
      <c r="B7" s="58" t="s">
        <v>37</v>
      </c>
      <c r="C7" s="26">
        <v>12</v>
      </c>
      <c r="D7" s="57">
        <v>306.10000000000002</v>
      </c>
      <c r="E7" s="101">
        <v>3176152</v>
      </c>
      <c r="F7" s="27">
        <v>0.1525</v>
      </c>
      <c r="G7" s="27">
        <v>0.32400000000000001</v>
      </c>
      <c r="H7" s="27">
        <v>0.8</v>
      </c>
      <c r="I7" s="28" t="s">
        <v>663</v>
      </c>
      <c r="J7" s="58" t="s">
        <v>665</v>
      </c>
    </row>
    <row r="8" spans="1:10" ht="23.25" customHeight="1" x14ac:dyDescent="0.35">
      <c r="A8" s="22">
        <v>3</v>
      </c>
      <c r="B8" s="56" t="s">
        <v>39</v>
      </c>
      <c r="C8" s="22">
        <v>23</v>
      </c>
      <c r="D8" s="57">
        <v>198.2</v>
      </c>
      <c r="E8" s="100">
        <v>1881024</v>
      </c>
      <c r="F8" s="23">
        <v>9.8699999999999996E-2</v>
      </c>
      <c r="G8" s="23">
        <v>0.42270000000000002</v>
      </c>
      <c r="H8" s="23">
        <v>0.8</v>
      </c>
      <c r="I8" s="24" t="s">
        <v>663</v>
      </c>
      <c r="J8" s="56" t="s">
        <v>666</v>
      </c>
    </row>
    <row r="9" spans="1:10" ht="23.25" customHeight="1" x14ac:dyDescent="0.35">
      <c r="A9" s="26">
        <v>4</v>
      </c>
      <c r="B9" s="58" t="s">
        <v>42</v>
      </c>
      <c r="C9" s="26">
        <v>20</v>
      </c>
      <c r="D9" s="57">
        <v>183.6</v>
      </c>
      <c r="E9" s="101">
        <v>1671491</v>
      </c>
      <c r="F9" s="27">
        <v>9.1499999999999998E-2</v>
      </c>
      <c r="G9" s="27">
        <v>0.51419999999999999</v>
      </c>
      <c r="H9" s="27">
        <v>0.8</v>
      </c>
      <c r="I9" s="28" t="s">
        <v>663</v>
      </c>
      <c r="J9" s="58" t="s">
        <v>667</v>
      </c>
    </row>
    <row r="10" spans="1:10" ht="23.25" customHeight="1" x14ac:dyDescent="0.35">
      <c r="A10" s="22">
        <v>5</v>
      </c>
      <c r="B10" s="56" t="s">
        <v>44</v>
      </c>
      <c r="C10" s="22">
        <v>20</v>
      </c>
      <c r="D10" s="57">
        <v>181.7</v>
      </c>
      <c r="E10" s="100">
        <v>1741752</v>
      </c>
      <c r="F10" s="23">
        <v>9.0499999999999997E-2</v>
      </c>
      <c r="G10" s="23">
        <v>0.60470000000000002</v>
      </c>
      <c r="H10" s="23">
        <v>0.8</v>
      </c>
      <c r="I10" s="24" t="s">
        <v>663</v>
      </c>
      <c r="J10" s="56" t="s">
        <v>668</v>
      </c>
    </row>
    <row r="11" spans="1:10" ht="23.25" customHeight="1" x14ac:dyDescent="0.35">
      <c r="A11" s="26">
        <v>6</v>
      </c>
      <c r="B11" s="58" t="s">
        <v>46</v>
      </c>
      <c r="C11" s="26">
        <v>17</v>
      </c>
      <c r="D11" s="57">
        <v>177.3</v>
      </c>
      <c r="E11" s="99">
        <v>1830383</v>
      </c>
      <c r="F11" s="27">
        <v>8.8300000000000003E-2</v>
      </c>
      <c r="G11" s="27">
        <v>0.69299999999999995</v>
      </c>
      <c r="H11" s="27">
        <v>0.8</v>
      </c>
      <c r="I11" s="28" t="s">
        <v>663</v>
      </c>
      <c r="J11" s="58" t="s">
        <v>669</v>
      </c>
    </row>
    <row r="12" spans="1:10" ht="23.25" customHeight="1" x14ac:dyDescent="0.35">
      <c r="A12" s="22">
        <v>7</v>
      </c>
      <c r="B12" s="56" t="s">
        <v>49</v>
      </c>
      <c r="C12" s="22">
        <v>20</v>
      </c>
      <c r="D12" s="57">
        <v>139.5</v>
      </c>
      <c r="E12" s="100">
        <v>1323842</v>
      </c>
      <c r="F12" s="23">
        <v>6.9500000000000006E-2</v>
      </c>
      <c r="G12" s="23">
        <v>0.76249999999999996</v>
      </c>
      <c r="H12" s="23">
        <v>0.8</v>
      </c>
      <c r="I12" s="24" t="s">
        <v>663</v>
      </c>
      <c r="J12" s="56" t="s">
        <v>670</v>
      </c>
    </row>
    <row r="13" spans="1:10" ht="23.25" customHeight="1" x14ac:dyDescent="0.35">
      <c r="A13" s="26">
        <v>8</v>
      </c>
      <c r="B13" s="58" t="s">
        <v>51</v>
      </c>
      <c r="C13" s="26">
        <v>17</v>
      </c>
      <c r="D13" s="57">
        <v>106.4</v>
      </c>
      <c r="E13" s="101">
        <v>1008779</v>
      </c>
      <c r="F13" s="27">
        <v>5.2999999999999999E-2</v>
      </c>
      <c r="G13" s="27">
        <v>0.8155</v>
      </c>
      <c r="H13" s="27">
        <v>0.8</v>
      </c>
      <c r="I13" s="28" t="s">
        <v>663</v>
      </c>
      <c r="J13" s="58" t="s">
        <v>671</v>
      </c>
    </row>
    <row r="14" spans="1:10" ht="23.25" customHeight="1" x14ac:dyDescent="0.35">
      <c r="A14" s="22">
        <v>9</v>
      </c>
      <c r="B14" s="56" t="s">
        <v>53</v>
      </c>
      <c r="C14" s="22">
        <v>22</v>
      </c>
      <c r="D14" s="22">
        <v>84.9</v>
      </c>
      <c r="E14" s="100">
        <v>843396</v>
      </c>
      <c r="F14" s="23">
        <v>4.2299999999999997E-2</v>
      </c>
      <c r="G14" s="23">
        <v>0.85780000000000001</v>
      </c>
      <c r="H14" s="23">
        <v>0.8</v>
      </c>
      <c r="I14" s="22" t="s">
        <v>672</v>
      </c>
      <c r="J14" s="56" t="s">
        <v>673</v>
      </c>
    </row>
    <row r="15" spans="1:10" ht="23.25" customHeight="1" x14ac:dyDescent="0.35">
      <c r="A15" s="26">
        <v>10</v>
      </c>
      <c r="B15" s="58" t="s">
        <v>55</v>
      </c>
      <c r="C15" s="26">
        <v>16</v>
      </c>
      <c r="D15" s="26">
        <v>77.400000000000006</v>
      </c>
      <c r="E15" s="101">
        <v>748132</v>
      </c>
      <c r="F15" s="27">
        <v>3.8600000000000002E-2</v>
      </c>
      <c r="G15" s="27">
        <v>0.89639999999999997</v>
      </c>
      <c r="H15" s="27">
        <v>0.8</v>
      </c>
      <c r="I15" s="26" t="s">
        <v>672</v>
      </c>
      <c r="J15" s="58" t="s">
        <v>674</v>
      </c>
    </row>
    <row r="16" spans="1:10" ht="23.25" customHeight="1" x14ac:dyDescent="0.35">
      <c r="A16" s="22">
        <v>11</v>
      </c>
      <c r="B16" s="56" t="s">
        <v>57</v>
      </c>
      <c r="C16" s="22">
        <v>12</v>
      </c>
      <c r="D16" s="22">
        <v>58.4</v>
      </c>
      <c r="E16" s="100">
        <v>598844</v>
      </c>
      <c r="F16" s="23">
        <v>2.9100000000000001E-2</v>
      </c>
      <c r="G16" s="23">
        <v>0.92549999999999999</v>
      </c>
      <c r="H16" s="23">
        <v>0.8</v>
      </c>
      <c r="I16" s="22" t="s">
        <v>672</v>
      </c>
      <c r="J16" s="56" t="s">
        <v>675</v>
      </c>
    </row>
    <row r="17" spans="1:10" ht="23.25" customHeight="1" x14ac:dyDescent="0.35">
      <c r="A17" s="26">
        <v>12</v>
      </c>
      <c r="B17" s="58" t="s">
        <v>59</v>
      </c>
      <c r="C17" s="26">
        <v>5</v>
      </c>
      <c r="D17" s="26">
        <v>52.4</v>
      </c>
      <c r="E17" s="101">
        <v>515104</v>
      </c>
      <c r="F17" s="27">
        <v>2.6100000000000002E-2</v>
      </c>
      <c r="G17" s="27">
        <v>0.9516</v>
      </c>
      <c r="H17" s="27">
        <v>0.8</v>
      </c>
      <c r="I17" s="26" t="s">
        <v>672</v>
      </c>
      <c r="J17" s="58" t="s">
        <v>676</v>
      </c>
    </row>
    <row r="18" spans="1:10" ht="15" customHeight="1" x14ac:dyDescent="0.35">
      <c r="A18" s="22">
        <v>13</v>
      </c>
      <c r="B18" s="56" t="s">
        <v>61</v>
      </c>
      <c r="C18" s="22">
        <v>6</v>
      </c>
      <c r="D18" s="22">
        <v>31.6</v>
      </c>
      <c r="E18" s="100">
        <v>324554</v>
      </c>
      <c r="F18" s="23">
        <v>1.5699999999999999E-2</v>
      </c>
      <c r="G18" s="23">
        <v>0.96730000000000005</v>
      </c>
      <c r="H18" s="23">
        <v>0.8</v>
      </c>
      <c r="I18" s="22" t="s">
        <v>672</v>
      </c>
      <c r="J18" s="56" t="s">
        <v>677</v>
      </c>
    </row>
    <row r="19" spans="1:10" ht="23.25" customHeight="1" x14ac:dyDescent="0.35">
      <c r="A19" s="26">
        <v>14</v>
      </c>
      <c r="B19" s="58" t="s">
        <v>62</v>
      </c>
      <c r="C19" s="26">
        <v>7</v>
      </c>
      <c r="D19" s="26">
        <v>28</v>
      </c>
      <c r="E19" s="101">
        <v>242911</v>
      </c>
      <c r="F19" s="27">
        <v>1.3899999999999999E-2</v>
      </c>
      <c r="G19" s="27">
        <v>0.98129999999999995</v>
      </c>
      <c r="H19" s="27">
        <v>0.8</v>
      </c>
      <c r="I19" s="26" t="s">
        <v>672</v>
      </c>
      <c r="J19" s="58" t="s">
        <v>678</v>
      </c>
    </row>
    <row r="20" spans="1:10" ht="23.25" customHeight="1" x14ac:dyDescent="0.35">
      <c r="A20" s="22">
        <v>15</v>
      </c>
      <c r="B20" s="56" t="s">
        <v>63</v>
      </c>
      <c r="C20" s="22">
        <v>7</v>
      </c>
      <c r="D20" s="22">
        <v>24.8</v>
      </c>
      <c r="E20" s="100">
        <v>228278</v>
      </c>
      <c r="F20" s="23">
        <v>1.24E-2</v>
      </c>
      <c r="G20" s="23">
        <v>0.99360000000000004</v>
      </c>
      <c r="H20" s="23">
        <v>0.8</v>
      </c>
      <c r="I20" s="22" t="s">
        <v>672</v>
      </c>
      <c r="J20" s="56" t="s">
        <v>679</v>
      </c>
    </row>
    <row r="21" spans="1:10" ht="15" customHeight="1" x14ac:dyDescent="0.35">
      <c r="A21" s="26">
        <v>16</v>
      </c>
      <c r="B21" s="58" t="s">
        <v>64</v>
      </c>
      <c r="C21" s="26">
        <v>5</v>
      </c>
      <c r="D21" s="26">
        <v>12.8</v>
      </c>
      <c r="E21" s="101">
        <v>137905</v>
      </c>
      <c r="F21" s="27">
        <v>6.4000000000000003E-3</v>
      </c>
      <c r="G21" s="27">
        <v>1</v>
      </c>
      <c r="H21" s="27">
        <v>0.8</v>
      </c>
      <c r="I21" s="26" t="s">
        <v>672</v>
      </c>
      <c r="J21" s="58" t="s">
        <v>680</v>
      </c>
    </row>
    <row r="22" spans="1:10" ht="15" customHeight="1" x14ac:dyDescent="0.35">
      <c r="A22" s="54" t="s">
        <v>649</v>
      </c>
      <c r="B22" s="54"/>
      <c r="C22" s="54">
        <f>SUM(C6:C21)</f>
        <v>240</v>
      </c>
      <c r="D22" s="54">
        <f>SUM(D6:D21)</f>
        <v>2007.4000000000003</v>
      </c>
      <c r="E22" s="109">
        <f>SUM(E6:E21)</f>
        <v>19600539</v>
      </c>
      <c r="F22" s="54"/>
      <c r="G22" s="54"/>
      <c r="H22" s="54"/>
      <c r="I22" s="54"/>
      <c r="J22" s="54"/>
    </row>
    <row r="23" spans="1:10" x14ac:dyDescent="0.35">
      <c r="J23" s="110"/>
    </row>
    <row r="25" spans="1:10" ht="15" customHeight="1" x14ac:dyDescent="0.35">
      <c r="A25" s="163" t="s">
        <v>681</v>
      </c>
      <c r="B25" s="163"/>
      <c r="C25" s="163"/>
      <c r="D25" s="163"/>
      <c r="E25" s="163"/>
      <c r="F25" s="163"/>
      <c r="G25" s="163"/>
      <c r="H25" s="163"/>
      <c r="I25" s="163"/>
    </row>
    <row r="26" spans="1:10" ht="27.75" customHeight="1" x14ac:dyDescent="0.35">
      <c r="A26" s="29" t="s">
        <v>23</v>
      </c>
      <c r="B26" s="29" t="s">
        <v>100</v>
      </c>
      <c r="C26" s="29" t="s">
        <v>70</v>
      </c>
      <c r="D26" s="29" t="s">
        <v>29</v>
      </c>
      <c r="E26" s="29" t="s">
        <v>25</v>
      </c>
      <c r="F26" s="29" t="s">
        <v>68</v>
      </c>
      <c r="G26" s="29" t="s">
        <v>682</v>
      </c>
      <c r="H26" s="29" t="s">
        <v>683</v>
      </c>
      <c r="I26" s="29" t="s">
        <v>88</v>
      </c>
    </row>
    <row r="27" spans="1:10" ht="15" customHeight="1" x14ac:dyDescent="0.35">
      <c r="A27" s="26">
        <v>1</v>
      </c>
      <c r="B27" s="25" t="s">
        <v>135</v>
      </c>
      <c r="C27" s="25" t="s">
        <v>75</v>
      </c>
      <c r="D27" s="26">
        <v>22</v>
      </c>
      <c r="E27" s="26">
        <v>216.3</v>
      </c>
      <c r="F27" s="50">
        <v>2050220</v>
      </c>
      <c r="G27" s="27">
        <v>0.1046</v>
      </c>
      <c r="H27" s="27">
        <v>0.1046</v>
      </c>
      <c r="I27" s="26">
        <v>16.600000000000001</v>
      </c>
    </row>
    <row r="28" spans="1:10" ht="15" customHeight="1" x14ac:dyDescent="0.35">
      <c r="A28" s="22">
        <v>2</v>
      </c>
      <c r="B28" s="21" t="s">
        <v>120</v>
      </c>
      <c r="C28" s="21" t="s">
        <v>77</v>
      </c>
      <c r="D28" s="22">
        <v>10</v>
      </c>
      <c r="E28" s="22">
        <v>177</v>
      </c>
      <c r="F28" s="52">
        <v>1736742</v>
      </c>
      <c r="G28" s="23">
        <v>8.8599999999999998E-2</v>
      </c>
      <c r="H28" s="23">
        <v>0.19320000000000001</v>
      </c>
      <c r="I28" s="22">
        <v>36.5</v>
      </c>
    </row>
    <row r="29" spans="1:10" ht="15" customHeight="1" x14ac:dyDescent="0.35">
      <c r="A29" s="26">
        <v>3</v>
      </c>
      <c r="B29" s="25" t="s">
        <v>155</v>
      </c>
      <c r="C29" s="25" t="s">
        <v>75</v>
      </c>
      <c r="D29" s="26">
        <v>19</v>
      </c>
      <c r="E29" s="26">
        <v>167.6</v>
      </c>
      <c r="F29" s="50">
        <v>1732529</v>
      </c>
      <c r="G29" s="27">
        <v>8.8400000000000006E-2</v>
      </c>
      <c r="H29" s="27">
        <v>0.28160000000000002</v>
      </c>
      <c r="I29" s="26">
        <v>19.2</v>
      </c>
    </row>
    <row r="30" spans="1:10" ht="15" customHeight="1" x14ac:dyDescent="0.35">
      <c r="A30" s="22">
        <v>4</v>
      </c>
      <c r="B30" s="21" t="s">
        <v>149</v>
      </c>
      <c r="C30" s="21" t="s">
        <v>75</v>
      </c>
      <c r="D30" s="22">
        <v>17</v>
      </c>
      <c r="E30" s="22">
        <v>166.5</v>
      </c>
      <c r="F30" s="52">
        <v>1575793</v>
      </c>
      <c r="G30" s="23">
        <v>8.0399999999999999E-2</v>
      </c>
      <c r="H30" s="23">
        <v>0.36199999999999999</v>
      </c>
      <c r="I30" s="22">
        <v>21.5</v>
      </c>
    </row>
    <row r="31" spans="1:10" ht="15" customHeight="1" x14ac:dyDescent="0.35">
      <c r="A31" s="26">
        <v>5</v>
      </c>
      <c r="B31" s="25" t="s">
        <v>302</v>
      </c>
      <c r="C31" s="25" t="s">
        <v>78</v>
      </c>
      <c r="D31" s="26">
        <v>10</v>
      </c>
      <c r="E31" s="26">
        <v>132.4</v>
      </c>
      <c r="F31" s="50">
        <v>1447677</v>
      </c>
      <c r="G31" s="27">
        <v>7.3899999999999993E-2</v>
      </c>
      <c r="H31" s="27">
        <v>0.43590000000000001</v>
      </c>
      <c r="I31" s="26">
        <v>36.5</v>
      </c>
    </row>
    <row r="32" spans="1:10" ht="15" customHeight="1" x14ac:dyDescent="0.35">
      <c r="A32" s="22">
        <v>6</v>
      </c>
      <c r="B32" s="21" t="s">
        <v>163</v>
      </c>
      <c r="C32" s="21" t="s">
        <v>75</v>
      </c>
      <c r="D32" s="22">
        <v>20</v>
      </c>
      <c r="E32" s="22">
        <v>131.1</v>
      </c>
      <c r="F32" s="52">
        <v>1273634</v>
      </c>
      <c r="G32" s="23">
        <v>6.5000000000000002E-2</v>
      </c>
      <c r="H32" s="23">
        <v>0.50080000000000002</v>
      </c>
      <c r="I32" s="22">
        <v>18.2</v>
      </c>
    </row>
    <row r="33" spans="1:9" ht="15" customHeight="1" x14ac:dyDescent="0.35">
      <c r="A33" s="26">
        <v>7</v>
      </c>
      <c r="B33" s="25" t="s">
        <v>159</v>
      </c>
      <c r="C33" s="25" t="s">
        <v>77</v>
      </c>
      <c r="D33" s="26">
        <v>11</v>
      </c>
      <c r="E33" s="26">
        <v>110.8</v>
      </c>
      <c r="F33" s="50">
        <v>1103947</v>
      </c>
      <c r="G33" s="27">
        <v>5.6300000000000003E-2</v>
      </c>
      <c r="H33" s="27">
        <v>0.55720000000000003</v>
      </c>
      <c r="I33" s="26">
        <v>33.200000000000003</v>
      </c>
    </row>
    <row r="34" spans="1:9" ht="15" customHeight="1" x14ac:dyDescent="0.35">
      <c r="A34" s="22">
        <v>8</v>
      </c>
      <c r="B34" s="21" t="s">
        <v>248</v>
      </c>
      <c r="C34" s="21" t="s">
        <v>79</v>
      </c>
      <c r="D34" s="22">
        <v>11</v>
      </c>
      <c r="E34" s="22">
        <v>106.7</v>
      </c>
      <c r="F34" s="52">
        <v>1089467</v>
      </c>
      <c r="G34" s="23">
        <v>5.5599999999999997E-2</v>
      </c>
      <c r="H34" s="23">
        <v>0.61270000000000002</v>
      </c>
      <c r="I34" s="22">
        <v>33.200000000000003</v>
      </c>
    </row>
    <row r="35" spans="1:9" ht="15" customHeight="1" x14ac:dyDescent="0.35">
      <c r="A35" s="26">
        <v>9</v>
      </c>
      <c r="B35" s="25" t="s">
        <v>223</v>
      </c>
      <c r="C35" s="25" t="s">
        <v>81</v>
      </c>
      <c r="D35" s="26">
        <v>8</v>
      </c>
      <c r="E35" s="26">
        <v>110.8</v>
      </c>
      <c r="F35" s="50">
        <v>1073216</v>
      </c>
      <c r="G35" s="27">
        <v>5.4800000000000001E-2</v>
      </c>
      <c r="H35" s="27">
        <v>0.66749999999999998</v>
      </c>
      <c r="I35" s="26">
        <v>45.6</v>
      </c>
    </row>
    <row r="36" spans="1:9" ht="15" customHeight="1" x14ac:dyDescent="0.35">
      <c r="A36" s="22">
        <v>10</v>
      </c>
      <c r="B36" s="21" t="s">
        <v>187</v>
      </c>
      <c r="C36" s="21" t="s">
        <v>80</v>
      </c>
      <c r="D36" s="22">
        <v>18</v>
      </c>
      <c r="E36" s="22">
        <v>88.5</v>
      </c>
      <c r="F36" s="52">
        <v>812269</v>
      </c>
      <c r="G36" s="23">
        <v>4.1399999999999999E-2</v>
      </c>
      <c r="H36" s="23">
        <v>0.70889999999999997</v>
      </c>
      <c r="I36" s="22">
        <v>20.3</v>
      </c>
    </row>
    <row r="37" spans="1:9" ht="15" customHeight="1" x14ac:dyDescent="0.35">
      <c r="A37" s="26">
        <v>11</v>
      </c>
      <c r="B37" s="25" t="s">
        <v>152</v>
      </c>
      <c r="C37" s="25" t="s">
        <v>78</v>
      </c>
      <c r="D37" s="26">
        <v>6</v>
      </c>
      <c r="E37" s="26">
        <v>74.8</v>
      </c>
      <c r="F37" s="50">
        <v>792394</v>
      </c>
      <c r="G37" s="27">
        <v>4.0399999999999998E-2</v>
      </c>
      <c r="H37" s="27">
        <v>0.74939999999999996</v>
      </c>
      <c r="I37" s="26">
        <v>60.8</v>
      </c>
    </row>
    <row r="38" spans="1:9" ht="15" customHeight="1" x14ac:dyDescent="0.35">
      <c r="A38" s="22">
        <v>12</v>
      </c>
      <c r="B38" s="21" t="s">
        <v>204</v>
      </c>
      <c r="C38" s="21" t="s">
        <v>79</v>
      </c>
      <c r="D38" s="22">
        <v>11</v>
      </c>
      <c r="E38" s="22">
        <v>75</v>
      </c>
      <c r="F38" s="52">
        <v>727507</v>
      </c>
      <c r="G38" s="23">
        <v>3.7100000000000001E-2</v>
      </c>
      <c r="H38" s="23">
        <v>0.78649999999999998</v>
      </c>
      <c r="I38" s="22">
        <v>33.200000000000003</v>
      </c>
    </row>
    <row r="39" spans="1:9" ht="15" customHeight="1" x14ac:dyDescent="0.35">
      <c r="A39" s="26">
        <v>13</v>
      </c>
      <c r="B39" s="25" t="s">
        <v>112</v>
      </c>
      <c r="C39" s="25" t="s">
        <v>77</v>
      </c>
      <c r="D39" s="26">
        <v>14</v>
      </c>
      <c r="E39" s="26">
        <v>79.8</v>
      </c>
      <c r="F39" s="50">
        <v>689910</v>
      </c>
      <c r="G39" s="27">
        <v>3.5200000000000002E-2</v>
      </c>
      <c r="H39" s="27">
        <v>0.82169999999999999</v>
      </c>
      <c r="I39" s="26">
        <v>26.1</v>
      </c>
    </row>
    <row r="40" spans="1:9" ht="15" customHeight="1" x14ac:dyDescent="0.35">
      <c r="A40" s="22">
        <v>14</v>
      </c>
      <c r="B40" s="21" t="s">
        <v>177</v>
      </c>
      <c r="C40" s="21" t="s">
        <v>80</v>
      </c>
      <c r="D40" s="22">
        <v>14</v>
      </c>
      <c r="E40" s="22">
        <v>55.4</v>
      </c>
      <c r="F40" s="52">
        <v>526007</v>
      </c>
      <c r="G40" s="23">
        <v>2.6800000000000001E-2</v>
      </c>
      <c r="H40" s="23">
        <v>0.84850000000000003</v>
      </c>
      <c r="I40" s="22">
        <v>26.1</v>
      </c>
    </row>
    <row r="41" spans="1:9" ht="15" customHeight="1" x14ac:dyDescent="0.35">
      <c r="A41" s="26">
        <v>15</v>
      </c>
      <c r="B41" s="25" t="s">
        <v>228</v>
      </c>
      <c r="C41" s="25" t="s">
        <v>78</v>
      </c>
      <c r="D41" s="26">
        <v>5</v>
      </c>
      <c r="E41" s="26">
        <v>50.8</v>
      </c>
      <c r="F41" s="50">
        <v>472922</v>
      </c>
      <c r="G41" s="27">
        <v>2.41E-2</v>
      </c>
      <c r="H41" s="27">
        <v>0.87260000000000004</v>
      </c>
      <c r="I41" s="26">
        <v>73</v>
      </c>
    </row>
  </sheetData>
  <mergeCells count="4">
    <mergeCell ref="A1:J1"/>
    <mergeCell ref="A2:J2"/>
    <mergeCell ref="A4:J4"/>
    <mergeCell ref="A25:I2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392B"/>
  </sheetPr>
  <dimension ref="A1:H65"/>
  <sheetViews>
    <sheetView zoomScale="52" zoomScaleNormal="52" workbookViewId="0">
      <pane ySplit="2" topLeftCell="A8" activePane="bottomLeft" state="frozen"/>
      <selection pane="bottomLeft" activeCell="B6" sqref="B6"/>
    </sheetView>
  </sheetViews>
  <sheetFormatPr defaultColWidth="8.54296875" defaultRowHeight="14.5" x14ac:dyDescent="0.35"/>
  <cols>
    <col min="1" max="1" width="30.81640625" customWidth="1"/>
    <col min="2" max="2" width="16" customWidth="1"/>
    <col min="3" max="3" width="14" bestFit="1" customWidth="1"/>
    <col min="4" max="4" width="51" bestFit="1" customWidth="1"/>
    <col min="5" max="7" width="14" customWidth="1"/>
  </cols>
  <sheetData>
    <row r="1" spans="1:8" ht="16.5" x14ac:dyDescent="0.35">
      <c r="A1" s="159" t="s">
        <v>684</v>
      </c>
      <c r="B1" s="159"/>
      <c r="C1" s="159"/>
      <c r="D1" s="159"/>
      <c r="E1" s="159"/>
      <c r="F1" s="159"/>
      <c r="G1" s="159"/>
      <c r="H1" s="159"/>
    </row>
    <row r="3" spans="1:8" ht="15" customHeight="1" x14ac:dyDescent="0.35">
      <c r="A3" s="161" t="s">
        <v>685</v>
      </c>
      <c r="B3" s="161"/>
      <c r="C3" s="161"/>
      <c r="D3" s="161"/>
    </row>
    <row r="4" spans="1:8" ht="21.75" customHeight="1" x14ac:dyDescent="0.35">
      <c r="A4" s="29" t="s">
        <v>686</v>
      </c>
      <c r="B4" s="29" t="s">
        <v>687</v>
      </c>
      <c r="C4" s="29" t="s">
        <v>688</v>
      </c>
      <c r="D4" s="29" t="s">
        <v>689</v>
      </c>
    </row>
    <row r="5" spans="1:8" ht="15" customHeight="1" x14ac:dyDescent="0.35">
      <c r="A5" s="59" t="s">
        <v>690</v>
      </c>
      <c r="B5" s="60">
        <v>1200</v>
      </c>
      <c r="C5" s="61" t="s">
        <v>691</v>
      </c>
      <c r="D5" s="62" t="s">
        <v>692</v>
      </c>
    </row>
    <row r="6" spans="1:8" ht="15" customHeight="1" x14ac:dyDescent="0.35">
      <c r="A6" s="63" t="s">
        <v>693</v>
      </c>
      <c r="B6" s="64">
        <v>8400</v>
      </c>
      <c r="C6" s="65" t="s">
        <v>694</v>
      </c>
      <c r="D6" s="66" t="s">
        <v>695</v>
      </c>
    </row>
    <row r="7" spans="1:8" ht="15" customHeight="1" x14ac:dyDescent="0.35">
      <c r="A7" s="59" t="s">
        <v>696</v>
      </c>
      <c r="B7" s="67">
        <v>9500</v>
      </c>
      <c r="C7" s="61" t="s">
        <v>697</v>
      </c>
      <c r="D7" s="62" t="s">
        <v>698</v>
      </c>
    </row>
    <row r="8" spans="1:8" ht="15" customHeight="1" x14ac:dyDescent="0.35">
      <c r="A8" s="63" t="s">
        <v>699</v>
      </c>
      <c r="B8" s="68">
        <v>0.08</v>
      </c>
      <c r="C8" s="65" t="s">
        <v>700</v>
      </c>
      <c r="D8" s="66" t="s">
        <v>701</v>
      </c>
    </row>
    <row r="9" spans="1:8" ht="15" customHeight="1" x14ac:dyDescent="0.35">
      <c r="A9" s="59" t="s">
        <v>702</v>
      </c>
      <c r="B9" s="67">
        <v>680</v>
      </c>
      <c r="C9" s="61" t="s">
        <v>703</v>
      </c>
      <c r="D9" s="62" t="s">
        <v>704</v>
      </c>
    </row>
    <row r="10" spans="1:8" ht="15" customHeight="1" x14ac:dyDescent="0.35">
      <c r="A10" s="63" t="s">
        <v>705</v>
      </c>
      <c r="B10" s="68">
        <v>0.83199999999999996</v>
      </c>
      <c r="C10" s="65" t="s">
        <v>706</v>
      </c>
      <c r="D10" s="66" t="s">
        <v>707</v>
      </c>
    </row>
    <row r="11" spans="1:8" ht="15" customHeight="1" x14ac:dyDescent="0.35">
      <c r="A11" s="59" t="s">
        <v>708</v>
      </c>
      <c r="B11" s="69">
        <v>0.82499999999999996</v>
      </c>
      <c r="C11" s="61" t="s">
        <v>706</v>
      </c>
      <c r="D11" s="62" t="s">
        <v>709</v>
      </c>
    </row>
    <row r="12" spans="1:8" ht="15" customHeight="1" x14ac:dyDescent="0.35">
      <c r="A12" s="63" t="s">
        <v>710</v>
      </c>
      <c r="B12" s="68">
        <v>0.89800000000000002</v>
      </c>
      <c r="C12" s="65" t="s">
        <v>706</v>
      </c>
      <c r="D12" s="66" t="s">
        <v>711</v>
      </c>
    </row>
    <row r="13" spans="1:8" ht="15" customHeight="1" x14ac:dyDescent="0.35">
      <c r="A13" s="59" t="s">
        <v>712</v>
      </c>
      <c r="B13" s="69">
        <v>0.42</v>
      </c>
      <c r="C13" s="61" t="s">
        <v>706</v>
      </c>
      <c r="D13" s="62" t="s">
        <v>713</v>
      </c>
    </row>
    <row r="14" spans="1:8" ht="15" customHeight="1" x14ac:dyDescent="0.35">
      <c r="A14" s="63" t="s">
        <v>714</v>
      </c>
      <c r="B14" s="70">
        <v>2500000</v>
      </c>
      <c r="C14" s="65" t="s">
        <v>715</v>
      </c>
      <c r="D14" s="66" t="s">
        <v>716</v>
      </c>
    </row>
    <row r="17" spans="1:4" ht="15" customHeight="1" x14ac:dyDescent="0.35">
      <c r="A17" s="164" t="s">
        <v>717</v>
      </c>
      <c r="B17" s="164"/>
      <c r="C17" s="164"/>
      <c r="D17" s="164"/>
    </row>
    <row r="18" spans="1:4" ht="15" customHeight="1" x14ac:dyDescent="0.35">
      <c r="A18" s="71" t="s">
        <v>718</v>
      </c>
      <c r="B18" s="71" t="s">
        <v>687</v>
      </c>
      <c r="C18" s="71" t="s">
        <v>688</v>
      </c>
      <c r="D18" s="71" t="s">
        <v>719</v>
      </c>
    </row>
    <row r="19" spans="1:4" ht="15" customHeight="1" x14ac:dyDescent="0.35">
      <c r="A19" s="25" t="s">
        <v>720</v>
      </c>
      <c r="B19" s="72">
        <v>240</v>
      </c>
      <c r="C19" s="26" t="s">
        <v>721</v>
      </c>
      <c r="D19" s="73" t="s">
        <v>722</v>
      </c>
    </row>
    <row r="20" spans="1:4" ht="15" customHeight="1" x14ac:dyDescent="0.35">
      <c r="A20" s="74" t="s">
        <v>723</v>
      </c>
      <c r="B20" s="75">
        <v>186</v>
      </c>
      <c r="C20" s="76" t="s">
        <v>721</v>
      </c>
      <c r="D20" s="77" t="s">
        <v>724</v>
      </c>
    </row>
    <row r="21" spans="1:4" ht="15" customHeight="1" x14ac:dyDescent="0.35">
      <c r="A21" s="25" t="s">
        <v>725</v>
      </c>
      <c r="B21" s="78">
        <v>1473.5</v>
      </c>
      <c r="C21" s="26" t="s">
        <v>694</v>
      </c>
      <c r="D21" s="73" t="s">
        <v>726</v>
      </c>
    </row>
    <row r="22" spans="1:4" ht="15" customHeight="1" x14ac:dyDescent="0.35">
      <c r="A22" s="74" t="s">
        <v>727</v>
      </c>
      <c r="B22" s="79">
        <v>14275440</v>
      </c>
      <c r="C22" s="76" t="s">
        <v>715</v>
      </c>
      <c r="D22" s="77" t="s">
        <v>728</v>
      </c>
    </row>
    <row r="23" spans="1:4" ht="15" customHeight="1" x14ac:dyDescent="0.35">
      <c r="A23" s="25" t="s">
        <v>729</v>
      </c>
      <c r="B23" s="80">
        <v>19600539</v>
      </c>
      <c r="C23" s="26" t="s">
        <v>715</v>
      </c>
      <c r="D23" s="73" t="s">
        <v>730</v>
      </c>
    </row>
    <row r="24" spans="1:4" ht="15" customHeight="1" x14ac:dyDescent="0.35">
      <c r="A24" s="74" t="s">
        <v>731</v>
      </c>
      <c r="B24" s="81">
        <v>0.8246</v>
      </c>
      <c r="C24" s="76" t="s">
        <v>706</v>
      </c>
      <c r="D24" s="77" t="s">
        <v>732</v>
      </c>
    </row>
    <row r="25" spans="1:4" ht="15" customHeight="1" x14ac:dyDescent="0.35">
      <c r="A25" s="25" t="s">
        <v>733</v>
      </c>
      <c r="B25" s="82">
        <v>0.74809999999999999</v>
      </c>
      <c r="C25" s="26" t="s">
        <v>706</v>
      </c>
      <c r="D25" s="73" t="s">
        <v>734</v>
      </c>
    </row>
    <row r="26" spans="1:4" ht="15" customHeight="1" x14ac:dyDescent="0.35">
      <c r="A26" s="74" t="s">
        <v>735</v>
      </c>
      <c r="B26" s="75">
        <v>7.92</v>
      </c>
      <c r="C26" s="76" t="s">
        <v>736</v>
      </c>
      <c r="D26" s="77" t="s">
        <v>737</v>
      </c>
    </row>
    <row r="27" spans="1:4" ht="15" customHeight="1" x14ac:dyDescent="0.35">
      <c r="A27" s="25" t="s">
        <v>738</v>
      </c>
      <c r="B27" s="72">
        <v>49.1</v>
      </c>
      <c r="C27" s="26" t="s">
        <v>739</v>
      </c>
      <c r="D27" s="73" t="s">
        <v>740</v>
      </c>
    </row>
    <row r="28" spans="1:4" ht="15" customHeight="1" x14ac:dyDescent="0.35">
      <c r="A28" s="74" t="s">
        <v>741</v>
      </c>
      <c r="B28" s="83">
        <v>1237740</v>
      </c>
      <c r="C28" s="76" t="s">
        <v>742</v>
      </c>
      <c r="D28" s="77" t="s">
        <v>743</v>
      </c>
    </row>
    <row r="31" spans="1:4" ht="15" customHeight="1" x14ac:dyDescent="0.35">
      <c r="A31" s="165" t="s">
        <v>744</v>
      </c>
      <c r="B31" s="165"/>
      <c r="C31" s="165"/>
      <c r="D31" s="165"/>
    </row>
    <row r="32" spans="1:4" ht="15" customHeight="1" x14ac:dyDescent="0.35">
      <c r="A32" s="84" t="s">
        <v>718</v>
      </c>
      <c r="B32" s="84" t="s">
        <v>687</v>
      </c>
      <c r="C32" s="84" t="s">
        <v>688</v>
      </c>
      <c r="D32" s="84" t="s">
        <v>719</v>
      </c>
    </row>
    <row r="33" spans="1:7" ht="15" customHeight="1" x14ac:dyDescent="0.35">
      <c r="A33" s="25" t="s">
        <v>745</v>
      </c>
      <c r="B33" s="85">
        <v>854.6</v>
      </c>
      <c r="C33" s="26" t="s">
        <v>694</v>
      </c>
      <c r="D33" s="73" t="s">
        <v>746</v>
      </c>
    </row>
    <row r="34" spans="1:7" ht="15" customHeight="1" x14ac:dyDescent="0.35">
      <c r="A34" s="86" t="s">
        <v>747</v>
      </c>
      <c r="B34" s="87">
        <v>618.9</v>
      </c>
      <c r="C34" s="57" t="s">
        <v>694</v>
      </c>
      <c r="D34" s="88" t="s">
        <v>748</v>
      </c>
    </row>
    <row r="35" spans="1:7" ht="15" customHeight="1" x14ac:dyDescent="0.35">
      <c r="A35" s="25" t="s">
        <v>749</v>
      </c>
      <c r="B35" s="82">
        <v>0.89829999999999999</v>
      </c>
      <c r="C35" s="26" t="s">
        <v>706</v>
      </c>
      <c r="D35" s="73" t="s">
        <v>750</v>
      </c>
    </row>
    <row r="36" spans="1:7" ht="15" customHeight="1" x14ac:dyDescent="0.35">
      <c r="A36" s="86" t="s">
        <v>705</v>
      </c>
      <c r="B36" s="89">
        <v>0.81499999999999995</v>
      </c>
      <c r="C36" s="57" t="s">
        <v>706</v>
      </c>
      <c r="D36" s="88" t="s">
        <v>751</v>
      </c>
    </row>
    <row r="37" spans="1:7" ht="15" customHeight="1" x14ac:dyDescent="0.35">
      <c r="A37" s="25" t="s">
        <v>752</v>
      </c>
      <c r="B37" s="82">
        <v>7.3700000000000002E-2</v>
      </c>
      <c r="C37" s="26" t="s">
        <v>753</v>
      </c>
      <c r="D37" s="73" t="s">
        <v>754</v>
      </c>
    </row>
    <row r="38" spans="1:7" ht="15" customHeight="1" x14ac:dyDescent="0.35">
      <c r="A38" s="86" t="s">
        <v>755</v>
      </c>
      <c r="B38" s="89">
        <v>6.6900000000000001E-2</v>
      </c>
      <c r="C38" s="57" t="s">
        <v>753</v>
      </c>
      <c r="D38" s="88" t="s">
        <v>754</v>
      </c>
    </row>
    <row r="39" spans="1:7" ht="15" customHeight="1" x14ac:dyDescent="0.35">
      <c r="A39" s="25" t="s">
        <v>756</v>
      </c>
      <c r="B39" s="80">
        <v>5995685</v>
      </c>
      <c r="C39" s="26" t="s">
        <v>715</v>
      </c>
      <c r="D39" s="73" t="s">
        <v>757</v>
      </c>
    </row>
    <row r="40" spans="1:7" ht="15" customHeight="1" x14ac:dyDescent="0.35">
      <c r="A40" s="86" t="s">
        <v>714</v>
      </c>
      <c r="B40" s="90">
        <v>2500000</v>
      </c>
      <c r="C40" s="57" t="s">
        <v>715</v>
      </c>
      <c r="D40" s="88" t="s">
        <v>758</v>
      </c>
    </row>
    <row r="41" spans="1:7" ht="15" customHeight="1" x14ac:dyDescent="0.35">
      <c r="A41" s="25" t="s">
        <v>759</v>
      </c>
      <c r="B41" s="85">
        <v>5</v>
      </c>
      <c r="C41" s="26" t="s">
        <v>760</v>
      </c>
      <c r="D41" s="73" t="s">
        <v>761</v>
      </c>
    </row>
    <row r="42" spans="1:7" ht="15" customHeight="1" x14ac:dyDescent="0.35">
      <c r="A42" s="86" t="s">
        <v>762</v>
      </c>
      <c r="B42" s="90">
        <v>11901635</v>
      </c>
      <c r="C42" s="57" t="s">
        <v>715</v>
      </c>
      <c r="D42" s="88" t="s">
        <v>763</v>
      </c>
    </row>
    <row r="43" spans="1:7" ht="15" customHeight="1" x14ac:dyDescent="0.35">
      <c r="A43" s="25" t="s">
        <v>764</v>
      </c>
      <c r="B43" s="82">
        <v>6.19482176</v>
      </c>
      <c r="C43" s="26" t="s">
        <v>706</v>
      </c>
      <c r="D43" s="73" t="s">
        <v>765</v>
      </c>
    </row>
    <row r="44" spans="1:7" ht="15" customHeight="1" x14ac:dyDescent="0.35">
      <c r="A44" s="86" t="s">
        <v>766</v>
      </c>
      <c r="B44" s="89">
        <v>1.3983000000000001</v>
      </c>
      <c r="C44" s="57" t="s">
        <v>706</v>
      </c>
      <c r="D44" s="88" t="s">
        <v>767</v>
      </c>
    </row>
    <row r="47" spans="1:7" ht="15" customHeight="1" x14ac:dyDescent="0.35">
      <c r="A47" s="161" t="s">
        <v>768</v>
      </c>
      <c r="B47" s="161"/>
      <c r="C47" s="161"/>
      <c r="D47" s="161"/>
      <c r="E47" s="161"/>
      <c r="F47" s="161"/>
      <c r="G47" s="161"/>
    </row>
    <row r="48" spans="1:7" ht="23.25" customHeight="1" x14ac:dyDescent="0.35">
      <c r="A48" s="91" t="s">
        <v>769</v>
      </c>
      <c r="B48" s="91" t="s">
        <v>770</v>
      </c>
      <c r="C48" s="91" t="s">
        <v>771</v>
      </c>
      <c r="D48" s="91" t="s">
        <v>772</v>
      </c>
      <c r="E48" s="91" t="s">
        <v>773</v>
      </c>
      <c r="F48" s="91" t="s">
        <v>774</v>
      </c>
      <c r="G48" s="91" t="s">
        <v>775</v>
      </c>
    </row>
    <row r="49" spans="1:7" ht="15" customHeight="1" x14ac:dyDescent="0.35">
      <c r="A49" s="25" t="s">
        <v>776</v>
      </c>
      <c r="B49" s="92">
        <v>0.2</v>
      </c>
      <c r="C49" s="26">
        <v>294.7</v>
      </c>
      <c r="D49" s="50">
        <v>2855088</v>
      </c>
      <c r="E49" s="26">
        <v>10.5</v>
      </c>
      <c r="F49" s="50">
        <v>4357921</v>
      </c>
      <c r="G49" s="92">
        <v>2.4260999999999999</v>
      </c>
    </row>
    <row r="50" spans="1:7" ht="15" customHeight="1" x14ac:dyDescent="0.35">
      <c r="A50" s="25" t="s">
        <v>777</v>
      </c>
      <c r="B50" s="92">
        <v>0.35</v>
      </c>
      <c r="C50" s="26">
        <v>515.70000000000005</v>
      </c>
      <c r="D50" s="50">
        <v>4996404</v>
      </c>
      <c r="E50" s="26">
        <v>6</v>
      </c>
      <c r="F50" s="50">
        <v>9501362</v>
      </c>
      <c r="G50" s="92">
        <v>4.9957000000000003</v>
      </c>
    </row>
    <row r="51" spans="1:7" ht="15" customHeight="1" x14ac:dyDescent="0.35">
      <c r="A51" s="93" t="s">
        <v>778</v>
      </c>
      <c r="B51" s="94">
        <v>0.42</v>
      </c>
      <c r="C51" s="95">
        <v>618.9</v>
      </c>
      <c r="D51" s="96">
        <v>5995685</v>
      </c>
      <c r="E51" s="95">
        <v>5</v>
      </c>
      <c r="F51" s="96">
        <v>11901635</v>
      </c>
      <c r="G51" s="94">
        <v>6.1947999999999999</v>
      </c>
    </row>
    <row r="52" spans="1:7" ht="15" customHeight="1" x14ac:dyDescent="0.35">
      <c r="A52" s="25" t="s">
        <v>779</v>
      </c>
      <c r="B52" s="92">
        <v>0.55000000000000004</v>
      </c>
      <c r="C52" s="26">
        <v>810.4</v>
      </c>
      <c r="D52" s="50">
        <v>7851492</v>
      </c>
      <c r="E52" s="26">
        <v>3.8</v>
      </c>
      <c r="F52" s="50">
        <v>16359284</v>
      </c>
      <c r="G52" s="92">
        <v>8.4217999999999993</v>
      </c>
    </row>
    <row r="53" spans="1:7" ht="15" customHeight="1" x14ac:dyDescent="0.35">
      <c r="A53" s="25" t="s">
        <v>780</v>
      </c>
      <c r="B53" s="92">
        <v>0.65</v>
      </c>
      <c r="C53" s="26">
        <v>957.8</v>
      </c>
      <c r="D53" s="50">
        <v>9279036</v>
      </c>
      <c r="E53" s="26">
        <v>3.2</v>
      </c>
      <c r="F53" s="50">
        <v>19788244</v>
      </c>
      <c r="G53" s="92">
        <v>10.1348</v>
      </c>
    </row>
    <row r="56" spans="1:7" ht="15" customHeight="1" x14ac:dyDescent="0.35">
      <c r="A56" s="161" t="s">
        <v>781</v>
      </c>
      <c r="B56" s="161"/>
      <c r="C56" s="161"/>
      <c r="D56" s="161"/>
      <c r="E56" s="161"/>
      <c r="F56" s="161"/>
      <c r="G56" s="161"/>
    </row>
    <row r="57" spans="1:7" ht="23.25" customHeight="1" x14ac:dyDescent="0.35">
      <c r="A57" s="97" t="s">
        <v>67</v>
      </c>
      <c r="B57" s="97" t="s">
        <v>86</v>
      </c>
      <c r="C57" s="97" t="s">
        <v>782</v>
      </c>
      <c r="D57" s="97" t="s">
        <v>88</v>
      </c>
      <c r="E57" s="97" t="s">
        <v>69</v>
      </c>
      <c r="F57" s="97" t="s">
        <v>783</v>
      </c>
      <c r="G57" s="97" t="s">
        <v>74</v>
      </c>
    </row>
    <row r="58" spans="1:7" ht="15" customHeight="1" x14ac:dyDescent="0.35">
      <c r="A58" s="21" t="s">
        <v>75</v>
      </c>
      <c r="B58" s="22">
        <v>78</v>
      </c>
      <c r="C58" s="22">
        <v>681.5</v>
      </c>
      <c r="D58" s="22">
        <v>4.7</v>
      </c>
      <c r="E58" s="22">
        <v>8.6999999999999993</v>
      </c>
      <c r="F58" s="23">
        <v>0.91890000000000005</v>
      </c>
      <c r="G58" s="23">
        <v>0.8337</v>
      </c>
    </row>
    <row r="59" spans="1:7" ht="15" customHeight="1" x14ac:dyDescent="0.35">
      <c r="A59" s="25" t="s">
        <v>77</v>
      </c>
      <c r="B59" s="26">
        <v>35</v>
      </c>
      <c r="C59" s="26">
        <v>367.6</v>
      </c>
      <c r="D59" s="26">
        <v>10.4</v>
      </c>
      <c r="E59" s="26">
        <v>10.5</v>
      </c>
      <c r="F59" s="27">
        <v>0.95620000000000005</v>
      </c>
      <c r="G59" s="27">
        <v>0.86750000000000005</v>
      </c>
    </row>
    <row r="60" spans="1:7" ht="15" customHeight="1" x14ac:dyDescent="0.35">
      <c r="A60" s="21" t="s">
        <v>78</v>
      </c>
      <c r="B60" s="22">
        <v>32</v>
      </c>
      <c r="C60" s="22">
        <v>305.39999999999998</v>
      </c>
      <c r="D60" s="22">
        <v>11.4</v>
      </c>
      <c r="E60" s="22">
        <v>9.5</v>
      </c>
      <c r="F60" s="23">
        <v>0.96360000000000001</v>
      </c>
      <c r="G60" s="23">
        <v>0.87419999999999998</v>
      </c>
    </row>
    <row r="61" spans="1:7" ht="15" customHeight="1" x14ac:dyDescent="0.35">
      <c r="A61" s="25" t="s">
        <v>79</v>
      </c>
      <c r="B61" s="26">
        <v>29</v>
      </c>
      <c r="C61" s="26">
        <v>203</v>
      </c>
      <c r="D61" s="26">
        <v>12.6</v>
      </c>
      <c r="E61" s="26">
        <v>7</v>
      </c>
      <c r="F61" s="27">
        <v>0.9758</v>
      </c>
      <c r="G61" s="27">
        <v>0.88529999999999998</v>
      </c>
    </row>
    <row r="62" spans="1:7" ht="15" customHeight="1" x14ac:dyDescent="0.35">
      <c r="A62" s="21" t="s">
        <v>80</v>
      </c>
      <c r="B62" s="22">
        <v>36</v>
      </c>
      <c r="C62" s="22">
        <v>185.1</v>
      </c>
      <c r="D62" s="22">
        <v>10.1</v>
      </c>
      <c r="E62" s="22">
        <v>5.0999999999999996</v>
      </c>
      <c r="F62" s="23">
        <v>0.97799999999999998</v>
      </c>
      <c r="G62" s="23">
        <v>0.88729999999999998</v>
      </c>
    </row>
    <row r="63" spans="1:7" ht="15" customHeight="1" x14ac:dyDescent="0.35">
      <c r="A63" s="25" t="s">
        <v>81</v>
      </c>
      <c r="B63" s="26">
        <v>14</v>
      </c>
      <c r="C63" s="26">
        <v>134.4</v>
      </c>
      <c r="D63" s="26">
        <v>26.1</v>
      </c>
      <c r="E63" s="26">
        <v>9.6</v>
      </c>
      <c r="F63" s="27">
        <v>0.98399999999999999</v>
      </c>
      <c r="G63" s="27">
        <v>0.89270000000000005</v>
      </c>
    </row>
    <row r="64" spans="1:7" ht="15" customHeight="1" x14ac:dyDescent="0.35">
      <c r="A64" s="21" t="s">
        <v>83</v>
      </c>
      <c r="B64" s="22">
        <v>6</v>
      </c>
      <c r="C64" s="22">
        <v>74.3</v>
      </c>
      <c r="D64" s="22">
        <v>60.8</v>
      </c>
      <c r="E64" s="22">
        <v>12.4</v>
      </c>
      <c r="F64" s="23">
        <v>0.99119999999999997</v>
      </c>
      <c r="G64" s="23">
        <v>0.89929999999999999</v>
      </c>
    </row>
    <row r="65" spans="1:7" ht="15" customHeight="1" x14ac:dyDescent="0.35">
      <c r="A65" s="25" t="s">
        <v>84</v>
      </c>
      <c r="B65" s="26">
        <v>10</v>
      </c>
      <c r="C65" s="26">
        <v>56.1</v>
      </c>
      <c r="D65" s="26">
        <v>36.5</v>
      </c>
      <c r="E65" s="26">
        <v>5.6</v>
      </c>
      <c r="F65" s="27">
        <v>0.99329999999999996</v>
      </c>
      <c r="G65" s="27">
        <v>0.9012</v>
      </c>
    </row>
  </sheetData>
  <mergeCells count="6">
    <mergeCell ref="A56:G56"/>
    <mergeCell ref="A1:H1"/>
    <mergeCell ref="A3:D3"/>
    <mergeCell ref="A17:D17"/>
    <mergeCell ref="A31:D31"/>
    <mergeCell ref="A47:G4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48F77"/>
  </sheetPr>
  <dimension ref="A1:M16"/>
  <sheetViews>
    <sheetView tabSelected="1" zoomScale="78" zoomScaleNormal="100" workbookViewId="0">
      <pane ySplit="3" topLeftCell="A4" activePane="bottomLeft" state="frozen"/>
      <selection pane="bottomLeft" activeCell="A21" sqref="A21"/>
    </sheetView>
  </sheetViews>
  <sheetFormatPr defaultColWidth="8.54296875" defaultRowHeight="14.5" x14ac:dyDescent="0.35"/>
  <cols>
    <col min="1" max="1" width="14.81640625" bestFit="1" customWidth="1"/>
    <col min="2" max="2" width="8" customWidth="1"/>
    <col min="3" max="4" width="14" customWidth="1"/>
    <col min="5" max="5" width="16" customWidth="1"/>
    <col min="6" max="6" width="12" customWidth="1"/>
    <col min="7" max="7" width="10" customWidth="1"/>
    <col min="8" max="8" width="12" customWidth="1"/>
    <col min="9" max="9" width="16" customWidth="1"/>
    <col min="10" max="10" width="14" customWidth="1"/>
    <col min="11" max="11" width="9" bestFit="1" customWidth="1"/>
    <col min="12" max="12" width="10.26953125" bestFit="1" customWidth="1"/>
  </cols>
  <sheetData>
    <row r="1" spans="1:13" ht="16.5" x14ac:dyDescent="0.35">
      <c r="A1" s="159" t="s">
        <v>784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</row>
    <row r="3" spans="1:13" ht="26" x14ac:dyDescent="0.35">
      <c r="A3" s="29" t="s">
        <v>28</v>
      </c>
      <c r="B3" s="29" t="s">
        <v>643</v>
      </c>
      <c r="C3" s="29" t="s">
        <v>782</v>
      </c>
      <c r="D3" s="29" t="s">
        <v>785</v>
      </c>
      <c r="E3" s="29" t="s">
        <v>645</v>
      </c>
      <c r="F3" s="29" t="s">
        <v>783</v>
      </c>
      <c r="G3" s="29" t="s">
        <v>74</v>
      </c>
      <c r="H3" s="29" t="s">
        <v>786</v>
      </c>
      <c r="I3" s="29" t="s">
        <v>787</v>
      </c>
      <c r="J3" s="29" t="s">
        <v>788</v>
      </c>
      <c r="K3" s="29" t="s">
        <v>789</v>
      </c>
      <c r="L3" s="29" t="s">
        <v>790</v>
      </c>
    </row>
    <row r="4" spans="1:13" ht="15" customHeight="1" x14ac:dyDescent="0.35">
      <c r="A4" s="22" t="s">
        <v>35</v>
      </c>
      <c r="B4" s="22">
        <v>18</v>
      </c>
      <c r="C4" s="22">
        <v>165</v>
      </c>
      <c r="D4" s="22">
        <v>133.80000000000001</v>
      </c>
      <c r="E4" s="52">
        <v>1594213</v>
      </c>
      <c r="F4" s="23">
        <v>0.80889999999999995</v>
      </c>
      <c r="G4" s="23">
        <v>0.7339</v>
      </c>
      <c r="H4" s="22">
        <v>165</v>
      </c>
      <c r="I4" s="52">
        <v>1594213</v>
      </c>
      <c r="J4" s="22">
        <v>71.2</v>
      </c>
      <c r="K4" s="98">
        <v>62.6</v>
      </c>
      <c r="L4" s="119" t="s">
        <v>791</v>
      </c>
    </row>
    <row r="5" spans="1:13" ht="15" customHeight="1" x14ac:dyDescent="0.35">
      <c r="A5" s="26" t="s">
        <v>38</v>
      </c>
      <c r="B5" s="26">
        <v>28</v>
      </c>
      <c r="C5" s="26">
        <v>305.3</v>
      </c>
      <c r="D5" s="26">
        <v>157.30000000000001</v>
      </c>
      <c r="E5" s="50">
        <v>2972036</v>
      </c>
      <c r="F5" s="27">
        <v>0.77529999999999999</v>
      </c>
      <c r="G5" s="27">
        <v>0.70340000000000003</v>
      </c>
      <c r="H5" s="26">
        <v>470.3</v>
      </c>
      <c r="I5" s="50">
        <v>4566249</v>
      </c>
      <c r="J5" s="26">
        <v>71.2</v>
      </c>
      <c r="K5" s="98">
        <v>86.1</v>
      </c>
      <c r="L5" s="120" t="s">
        <v>791</v>
      </c>
    </row>
    <row r="6" spans="1:13" ht="15" customHeight="1" x14ac:dyDescent="0.35">
      <c r="A6" s="22" t="s">
        <v>40</v>
      </c>
      <c r="B6" s="22">
        <v>12</v>
      </c>
      <c r="C6" s="22">
        <v>74</v>
      </c>
      <c r="D6" s="22">
        <v>66.5</v>
      </c>
      <c r="E6" s="52">
        <v>644337</v>
      </c>
      <c r="F6" s="23">
        <v>0.90500000000000003</v>
      </c>
      <c r="G6" s="23">
        <v>0.82110000000000005</v>
      </c>
      <c r="H6" s="22">
        <v>544.29999999999995</v>
      </c>
      <c r="I6" s="52">
        <v>5210586</v>
      </c>
      <c r="J6" s="22">
        <v>71.2</v>
      </c>
      <c r="K6" s="22">
        <v>-4.7</v>
      </c>
      <c r="L6" s="121" t="s">
        <v>792</v>
      </c>
    </row>
    <row r="7" spans="1:13" ht="15" customHeight="1" x14ac:dyDescent="0.35">
      <c r="A7" s="26" t="s">
        <v>43</v>
      </c>
      <c r="B7" s="26">
        <v>14</v>
      </c>
      <c r="C7" s="26">
        <v>63.6</v>
      </c>
      <c r="D7" s="26">
        <v>51.9</v>
      </c>
      <c r="E7" s="50">
        <v>649793</v>
      </c>
      <c r="F7" s="27">
        <v>0.92589999999999995</v>
      </c>
      <c r="G7" s="27">
        <v>0.84</v>
      </c>
      <c r="H7" s="26">
        <v>607.9</v>
      </c>
      <c r="I7" s="50">
        <v>5860379</v>
      </c>
      <c r="J7" s="26">
        <v>71.2</v>
      </c>
      <c r="K7" s="26">
        <v>-19.3</v>
      </c>
      <c r="L7" s="122" t="s">
        <v>792</v>
      </c>
    </row>
    <row r="8" spans="1:13" ht="15" customHeight="1" x14ac:dyDescent="0.35">
      <c r="A8" s="22" t="s">
        <v>45</v>
      </c>
      <c r="B8" s="22">
        <v>16</v>
      </c>
      <c r="C8" s="22">
        <v>206.8</v>
      </c>
      <c r="D8" s="22">
        <v>180</v>
      </c>
      <c r="E8" s="52">
        <v>1998721</v>
      </c>
      <c r="F8" s="23">
        <v>0.7429</v>
      </c>
      <c r="G8" s="23">
        <v>0.67400000000000004</v>
      </c>
      <c r="H8" s="22">
        <v>814.7</v>
      </c>
      <c r="I8" s="52">
        <v>7859100</v>
      </c>
      <c r="J8" s="22">
        <v>71.2</v>
      </c>
      <c r="K8" s="98">
        <v>108.8</v>
      </c>
      <c r="L8" s="119" t="s">
        <v>791</v>
      </c>
    </row>
    <row r="9" spans="1:13" ht="15" customHeight="1" x14ac:dyDescent="0.35">
      <c r="A9" s="26" t="s">
        <v>47</v>
      </c>
      <c r="B9" s="26">
        <v>21</v>
      </c>
      <c r="C9" s="26">
        <v>106.7</v>
      </c>
      <c r="D9" s="26">
        <v>72.900000000000006</v>
      </c>
      <c r="E9" s="50">
        <v>932138</v>
      </c>
      <c r="F9" s="27">
        <v>0.89590000000000003</v>
      </c>
      <c r="G9" s="27">
        <v>0.81279999999999997</v>
      </c>
      <c r="H9" s="26">
        <v>921.4</v>
      </c>
      <c r="I9" s="50">
        <v>8791238</v>
      </c>
      <c r="J9" s="26">
        <v>71.2</v>
      </c>
      <c r="K9" s="98">
        <v>1.7</v>
      </c>
      <c r="L9" s="123" t="s">
        <v>793</v>
      </c>
    </row>
    <row r="10" spans="1:13" ht="15" customHeight="1" x14ac:dyDescent="0.35">
      <c r="A10" s="22" t="s">
        <v>50</v>
      </c>
      <c r="B10" s="22">
        <v>14</v>
      </c>
      <c r="C10" s="22">
        <v>81.900000000000006</v>
      </c>
      <c r="D10" s="22">
        <v>51.7</v>
      </c>
      <c r="E10" s="52">
        <v>805456</v>
      </c>
      <c r="F10" s="23">
        <v>0.92610000000000003</v>
      </c>
      <c r="G10" s="23">
        <v>0.84019999999999995</v>
      </c>
      <c r="H10" s="22">
        <v>1003.3</v>
      </c>
      <c r="I10" s="52">
        <v>9596694</v>
      </c>
      <c r="J10" s="22">
        <v>71.2</v>
      </c>
      <c r="K10" s="22">
        <v>-19.5</v>
      </c>
      <c r="L10" s="121" t="s">
        <v>792</v>
      </c>
    </row>
    <row r="11" spans="1:13" ht="15" customHeight="1" x14ac:dyDescent="0.35">
      <c r="A11" s="26" t="s">
        <v>52</v>
      </c>
      <c r="B11" s="26">
        <v>23</v>
      </c>
      <c r="C11" s="26">
        <v>200.3</v>
      </c>
      <c r="D11" s="26">
        <v>183.4</v>
      </c>
      <c r="E11" s="50">
        <v>2120009</v>
      </c>
      <c r="F11" s="27">
        <v>0.73799999999999999</v>
      </c>
      <c r="G11" s="27">
        <v>0.66959999999999997</v>
      </c>
      <c r="H11" s="26">
        <v>1203.5999999999999</v>
      </c>
      <c r="I11" s="50">
        <v>11716703</v>
      </c>
      <c r="J11" s="26">
        <v>71.2</v>
      </c>
      <c r="K11" s="98">
        <v>112.2</v>
      </c>
      <c r="L11" s="120" t="s">
        <v>791</v>
      </c>
    </row>
    <row r="12" spans="1:13" ht="15" customHeight="1" x14ac:dyDescent="0.35">
      <c r="A12" s="22" t="s">
        <v>54</v>
      </c>
      <c r="B12" s="22">
        <v>20</v>
      </c>
      <c r="C12" s="22">
        <v>121.4</v>
      </c>
      <c r="D12" s="22">
        <v>62.8</v>
      </c>
      <c r="E12" s="52">
        <v>1190977</v>
      </c>
      <c r="F12" s="23">
        <v>0.9103</v>
      </c>
      <c r="G12" s="23">
        <v>0.82589999999999997</v>
      </c>
      <c r="H12" s="22">
        <v>1325</v>
      </c>
      <c r="I12" s="52">
        <v>12907680</v>
      </c>
      <c r="J12" s="22">
        <v>71.2</v>
      </c>
      <c r="K12" s="22">
        <v>-8.4</v>
      </c>
      <c r="L12" s="121" t="s">
        <v>792</v>
      </c>
    </row>
    <row r="13" spans="1:13" ht="15" customHeight="1" x14ac:dyDescent="0.35">
      <c r="A13" s="26" t="s">
        <v>56</v>
      </c>
      <c r="B13" s="26">
        <v>30</v>
      </c>
      <c r="C13" s="26">
        <v>375.1</v>
      </c>
      <c r="D13" s="26">
        <v>306.3</v>
      </c>
      <c r="E13" s="50">
        <v>3767187</v>
      </c>
      <c r="F13" s="27">
        <v>0.56240000000000001</v>
      </c>
      <c r="G13" s="27">
        <v>0.51019999999999999</v>
      </c>
      <c r="H13" s="26">
        <v>1700.1</v>
      </c>
      <c r="I13" s="50">
        <v>16674867</v>
      </c>
      <c r="J13" s="26">
        <v>71.2</v>
      </c>
      <c r="K13" s="98">
        <v>235.1</v>
      </c>
      <c r="L13" s="120" t="s">
        <v>791</v>
      </c>
    </row>
    <row r="14" spans="1:13" ht="15" customHeight="1" x14ac:dyDescent="0.35">
      <c r="A14" s="22" t="s">
        <v>58</v>
      </c>
      <c r="B14" s="22">
        <v>20</v>
      </c>
      <c r="C14" s="22">
        <v>115.5</v>
      </c>
      <c r="D14" s="22">
        <v>106.4</v>
      </c>
      <c r="E14" s="52">
        <v>1072950</v>
      </c>
      <c r="F14" s="23">
        <v>0.84799999999999998</v>
      </c>
      <c r="G14" s="23">
        <v>0.76929999999999998</v>
      </c>
      <c r="H14" s="22">
        <v>1815.6</v>
      </c>
      <c r="I14" s="52">
        <v>17747817</v>
      </c>
      <c r="J14" s="22">
        <v>71.2</v>
      </c>
      <c r="K14" s="98">
        <v>35.200000000000003</v>
      </c>
      <c r="L14" s="119" t="s">
        <v>791</v>
      </c>
    </row>
    <row r="15" spans="1:13" ht="15" customHeight="1" x14ac:dyDescent="0.35">
      <c r="A15" s="26" t="s">
        <v>60</v>
      </c>
      <c r="B15" s="26">
        <v>24</v>
      </c>
      <c r="C15" s="26">
        <v>191.8</v>
      </c>
      <c r="D15" s="26">
        <v>100.5</v>
      </c>
      <c r="E15" s="50">
        <v>1852722</v>
      </c>
      <c r="F15" s="27">
        <v>0.85640000000000005</v>
      </c>
      <c r="G15" s="27">
        <v>0.77700000000000002</v>
      </c>
      <c r="H15" s="26">
        <v>2007.4</v>
      </c>
      <c r="I15" s="50">
        <v>19600539</v>
      </c>
      <c r="J15" s="26">
        <v>71.2</v>
      </c>
      <c r="K15" s="98">
        <v>29.3</v>
      </c>
      <c r="L15" s="120" t="s">
        <v>791</v>
      </c>
    </row>
    <row r="16" spans="1:13" s="107" customFormat="1" ht="15" customHeight="1" x14ac:dyDescent="0.35">
      <c r="A16" s="112" t="s">
        <v>794</v>
      </c>
      <c r="B16" s="112">
        <f>SUM(B4:B15)</f>
        <v>240</v>
      </c>
      <c r="C16" s="112">
        <f>SUM(C4:C15)</f>
        <v>2007.4000000000003</v>
      </c>
      <c r="D16" s="112">
        <f>SUM(D4:D15)</f>
        <v>1473.5</v>
      </c>
      <c r="E16" s="113">
        <f>SUM(E4:E15)</f>
        <v>19600539</v>
      </c>
      <c r="F16" s="112"/>
      <c r="G16" s="112"/>
      <c r="H16" s="112"/>
      <c r="I16" s="112"/>
      <c r="J16" s="112"/>
      <c r="K16" s="112"/>
      <c r="L16" s="112"/>
    </row>
  </sheetData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1c00b2-2eb2-41dd-b217-4d2481bde7f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1829051FB050408075B3644912DEA8" ma:contentTypeVersion="11" ma:contentTypeDescription="Create a new document." ma:contentTypeScope="" ma:versionID="7b767331878eadccdb6bc316ca54fe79">
  <xsd:schema xmlns:xsd="http://www.w3.org/2001/XMLSchema" xmlns:xs="http://www.w3.org/2001/XMLSchema" xmlns:p="http://schemas.microsoft.com/office/2006/metadata/properties" xmlns:ns3="9d1c00b2-2eb2-41dd-b217-4d2481bde7fc" targetNamespace="http://schemas.microsoft.com/office/2006/metadata/properties" ma:root="true" ma:fieldsID="5160d27e9005635b4487bfb57b4fcdf7" ns3:_="">
    <xsd:import namespace="9d1c00b2-2eb2-41dd-b217-4d2481bde7f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c00b2-2eb2-41dd-b217-4d2481bde7f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FB62F6-4180-4C7B-9676-9078BAAE662A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9d1c00b2-2eb2-41dd-b217-4d2481bde7fc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4567592-6091-4A9F-9D86-72813C8E0D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1c00b2-2eb2-41dd-b217-4d2481bde7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82E862-EB3A-44B3-9C19-B3187798606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1323671-cdbe-4417-b4d4-bdb24b51316b}" enabled="0" method="" siteId="{d1323671-cdbe-4417-b4d4-bdb24b5131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RAW_DATA</vt:lpstr>
      <vt:lpstr>CATEGORISATION</vt:lpstr>
      <vt:lpstr>PARETO_ANALYSIS</vt:lpstr>
      <vt:lpstr>COST_MODEL</vt:lpstr>
      <vt:lpstr>MONTHLY_TREND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Leela Dhanush Naidu Kalaparthi</cp:lastModifiedBy>
  <cp:revision>2</cp:revision>
  <dcterms:created xsi:type="dcterms:W3CDTF">2026-03-12T04:49:56Z</dcterms:created>
  <dcterms:modified xsi:type="dcterms:W3CDTF">2026-04-10T02:48:05Z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0x0101005C1829051FB050408075B3644912DEA8</vt:lpwstr>
  </property>
</Properties>
</file>